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_안내" state="visible" r:id="rId4"/>
    <sheet sheetId="2" name="1_입력값" state="visible" r:id="rId5"/>
    <sheet sheetId="3" name="2_단가조사" state="visible" r:id="rId6"/>
    <sheet sheetId="4" name="3_차폐·냉방환산" state="visible" r:id="rId7"/>
    <sheet sheetId="5" name="4_결정회의안건" state="visible" r:id="rId8"/>
    <sheet sheetId="6" name="5_1784운영규칙" state="visible" r:id="rId9"/>
    <sheet sheetId="7" name="6_태양궤적(혜연)" state="visible" r:id="rId10"/>
    <sheet sheetId="8" name="7_공사비" state="visible" r:id="rId11"/>
    <sheet sheetId="9" name="8_시공전후" state="visible" r:id="rId12"/>
    <sheet sheetId="10" name="9_발주처이익" state="visible" r:id="rId13"/>
    <sheet sheetId="11" name="10_누적·민감도" state="visible" r:id="rId14"/>
    <sheet sheetId="12" name="11_인센티브" state="visible" r:id="rId15"/>
    <sheet sheetId="13" name="12_일정표" state="visible" r:id="rId16"/>
    <sheet sheetId="14" name="13_탄소·계절효과" state="visible" r:id="rId17"/>
    <sheet sheetId="15" name="14_Radiance(팀)" state="visible" r:id="rId18"/>
  </sheets>
  <calcPr calcId="171027"/>
</workbook>
</file>

<file path=xl/sharedStrings.xml><?xml version="1.0" encoding="utf-8"?>
<sst xmlns="http://schemas.openxmlformats.org/spreadsheetml/2006/main" count="3343" uniqueCount="783">
  <si>
    <t>반응형외피 · 1일차 경제성 자료</t>
  </si>
  <si>
    <t/>
  </si>
  <si>
    <t>작성</t>
  </si>
  <si>
    <t>은미 (보고서·경제성·PM)</t>
  </si>
  <si>
    <t>시트 구성</t>
  </si>
  <si>
    <t>1_입력값 / 2_단가조사 / 3_차폐·냉방환산 / 4_결정회의안건 / 5_1784운영규칙 / 6_태양궤적(혜연) / 7_공사비 / 8_시공전후 / 9_발주처이익 / 10_누적·민감도 / 11_인센티브 / 12_일정표</t>
  </si>
  <si>
    <t>색 규칙</t>
  </si>
  <si>
    <t>노랑 = 팀이 입력·확정할 칸 / 회색 = 참고용 임시값(출처 확인 전)</t>
  </si>
  <si>
    <t>중요</t>
  </si>
  <si>
    <t>임시값과 빈칸은 실제 조사 결과가 아닙니다. 출처를 확인하고 상태를 바꾼 뒤에만 보고서에 쓰세요. 2_단가조사의 숫자는 공개 자료로 확인되지 않아 제가 넣은 추정치입니다. 5_1784운영규칙과 6_태양궤적은 혜연의 자료입니다.</t>
  </si>
  <si>
    <t>2일차 연결</t>
  </si>
  <si>
    <t>1_입력값이 모든 시트의 유일한 입력원이 되도록 공사비·시공전후·발주처이익 시트가 이 셀들을 참조하게 만듭니다</t>
  </si>
  <si>
    <t>비교 대안 4개</t>
  </si>
  <si>
    <t>시공 전(일반 통유리) / 내부 반응형(그린팩토리형) / 외부 고정 / 외부 반응형(1784형). 내부 vs 외부는 내부·외부 반응형을, 고정 vs 반응형은 외부 고정·외부 반응형을 비교합니다.</t>
  </si>
  <si>
    <t>반응형 추가 비용</t>
  </si>
  <si>
    <t>반응형(내부·외부)에는 수동 작동 앱 개발비(1회)와 앱 연 운영비가 들어갑니다. 외부 반응형은 루버 보호 유리(1784의 바깥 유리와 같은 개념)를 포함하는지 1_입력값 47행 스위치로 정합니다. 1784 자체는 비교 대안이 아니라 운영 검증용입니다.</t>
  </si>
  <si>
    <t>인센티브</t>
  </si>
  <si>
    <t>11_인센티브: 신축(취득세·재산세 감면)과 리모델링(이자지원·재산세 감면) 시나리오. 기본은 꺼져 있고, 켜면 누적 비용과 손익분기에 반영됩니다. 감면율은 확인 필요한 가정값입니다.</t>
  </si>
  <si>
    <t>2일차 시트</t>
  </si>
  <si>
    <t>7~10번 시트는 모두 1_입력값과 2_단가조사에 연결됩니다. 입력값 하나를 바꾸면 공사비, 시공 전후, 발주처 이익, 누적, 민감도가 함께 바뀝니다.</t>
  </si>
  <si>
    <t>임시 테스트값</t>
  </si>
  <si>
    <t>주황색 칸(창 면적, 루버 면적, 일사량, 조명 사용량 등)은 계산이 되는지 보려고 제가 넣은 임시값입니다. 우정·혜연·서우의 실제 값으로 교체하기 전의 결과는 보고서에 쓰지 마세요.</t>
  </si>
  <si>
    <t>No</t>
  </si>
  <si>
    <t>구분</t>
  </si>
  <si>
    <t>입력값</t>
  </si>
  <si>
    <t>값</t>
  </si>
  <si>
    <t>단위</t>
  </si>
  <si>
    <t>설명 / 어디서 오나</t>
  </si>
  <si>
    <t>제공자</t>
  </si>
  <si>
    <t>상태</t>
  </si>
  <si>
    <t>위치</t>
  </si>
  <si>
    <t>위도</t>
  </si>
  <si>
    <t>°N</t>
  </si>
  <si>
    <t>그린팩토리(OSM). 1784는 37.35888</t>
  </si>
  <si>
    <t>혜연</t>
  </si>
  <si>
    <t>입력 (혜연 자료)</t>
  </si>
  <si>
    <t>경도</t>
  </si>
  <si>
    <t>°E</t>
  </si>
  <si>
    <t>그린팩토리(OSM). 1784는 127.10518</t>
  </si>
  <si>
    <t>대표일</t>
  </si>
  <si>
    <t>춘분 3/21 · 하지 6/21 · 추분 9/23 · 동지 12/21</t>
  </si>
  <si>
    <t>혜연은 4일을 제시. 계획서는 3일(하지·춘추분·동지) → 회의에서 확정</t>
  </si>
  <si>
    <t>전원</t>
  </si>
  <si>
    <t>혜연 제안, 확정 필요</t>
  </si>
  <si>
    <t>입면</t>
  </si>
  <si>
    <t>분석 입면 방위</t>
  </si>
  <si>
    <t>° (방위각)</t>
  </si>
  <si>
    <t>북0 동90 남180 서270. 1784 외곽선은 정동서남북에 1° 이내 정렬(OSM)</t>
  </si>
  <si>
    <t>회의 안건</t>
  </si>
  <si>
    <t>창(커튼월) 면적 - 루버 설치면 합계</t>
  </si>
  <si>
    <t>㎡</t>
  </si>
  <si>
    <t>분석 입면 기준, Revit</t>
  </si>
  <si>
    <t>우정</t>
  </si>
  <si>
    <t>루버 설치면 합계 (아래 53~60행)</t>
  </si>
  <si>
    <t>대표 실 면적</t>
  </si>
  <si>
    <t>대표 실 조건표</t>
  </si>
  <si>
    <t>서우</t>
  </si>
  <si>
    <t>미입력</t>
  </si>
  <si>
    <t>루버</t>
  </si>
  <si>
    <t>외부 고정 루버 면적</t>
  </si>
  <si>
    <t>Revit 일람표</t>
  </si>
  <si>
    <t>설치면 창 면적 × 루버 면적비</t>
  </si>
  <si>
    <t>외부 반응형 루버 면적</t>
  </si>
  <si>
    <t>구동 유닛 수 (외부 반응형)</t>
  </si>
  <si>
    <t>개</t>
  </si>
  <si>
    <t>Revit 일람표 루버 개수</t>
  </si>
  <si>
    <t>루버 면적 ÷ 유닛당 면적</t>
  </si>
  <si>
    <t>내부 반응형 루버 면적</t>
  </si>
  <si>
    <t>Revit 일람표 (내부 설치 루버)</t>
  </si>
  <si>
    <t>공사</t>
  </si>
  <si>
    <t>가설(곤돌라·고소작업) 일수</t>
  </si>
  <si>
    <t>일</t>
  </si>
  <si>
    <t>외부 설치 가설 일수 (곤돌라·고소작업)</t>
  </si>
  <si>
    <t>은미</t>
  </si>
  <si>
    <t>임시 테스트값 (실제값으로 교체)</t>
  </si>
  <si>
    <t>설계·감리 비율</t>
  </si>
  <si>
    <t>% (직접공사비)</t>
  </si>
  <si>
    <t>단가조사 시트</t>
  </si>
  <si>
    <t>단가조사 기준값 연결</t>
  </si>
  <si>
    <t>예비비 비율</t>
  </si>
  <si>
    <t>경제성</t>
  </si>
  <si>
    <t>전기요금 단가</t>
  </si>
  <si>
    <t>원/kWh</t>
  </si>
  <si>
    <t>단가조사 시트 기준값</t>
  </si>
  <si>
    <t>전기요금 연 인상률</t>
  </si>
  <si>
    <t>%/년</t>
  </si>
  <si>
    <t>민감도용</t>
  </si>
  <si>
    <t>루버 수명</t>
  </si>
  <si>
    <t>년</t>
  </si>
  <si>
    <t>누적 순이익 기간</t>
  </si>
  <si>
    <t>연 유지관리비율</t>
  </si>
  <si>
    <t>% (공사비)</t>
  </si>
  <si>
    <t>유지비 가정</t>
  </si>
  <si>
    <t>단가조사 기준값 연결(외부 고정 루버)</t>
  </si>
  <si>
    <t>할인율 (선택)</t>
  </si>
  <si>
    <t>%</t>
  </si>
  <si>
    <t>단순 회수기간이면 생략</t>
  </si>
  <si>
    <t>결정 필요</t>
  </si>
  <si>
    <t>냉방</t>
  </si>
  <si>
    <t>냉방 COP</t>
  </si>
  <si>
    <t>-</t>
  </si>
  <si>
    <t>팀 EnergyPlus 가정 (v9)</t>
  </si>
  <si>
    <t>팀</t>
  </si>
  <si>
    <t>팀 v9</t>
  </si>
  <si>
    <t>냉방 부하 / 창 일사 (kWh/kWh)</t>
  </si>
  <si>
    <t>창에 닿는 일사 1 kWh 감소 → 냉방 부하 1.13 kWh 감소. 팀 EnergyPlus 민감도 (1784 9층 서남 모서리 방). 다른 건물은 간이 추정</t>
  </si>
  <si>
    <t>대안별 일사량(연 환산)</t>
  </si>
  <si>
    <t>아래 36~39행 (루버 설치면 평균)</t>
  </si>
  <si>
    <t>kWh/㎡·년</t>
  </si>
  <si>
    <t>혜연 GH 결과(대표일→연간)</t>
  </si>
  <si>
    <t>4일차 수령</t>
  </si>
  <si>
    <t>조명</t>
  </si>
  <si>
    <t>대안별 조명 사용량</t>
  </si>
  <si>
    <t>아래 40~43행</t>
  </si>
  <si>
    <t>kWh/년</t>
  </si>
  <si>
    <t>서우 Honeybee 결과</t>
  </si>
  <si>
    <t>확장</t>
  </si>
  <si>
    <t>반사광 진행 여부</t>
  </si>
  <si>
    <t>예/아니오</t>
  </si>
  <si>
    <t>5일차 아침 판단</t>
  </si>
  <si>
    <t>5일차</t>
  </si>
  <si>
    <t>운영규칙</t>
  </si>
  <si>
    <t>컷오프(춘분/하지/추분/동지)</t>
  </si>
  <si>
    <t>30 / 60 / 45 / 30</t>
  </si>
  <si>
    <t>°</t>
  </si>
  <si>
    <t>혜연 팀 가정값. 5_1784운영규칙 시트 참조</t>
  </si>
  <si>
    <t>가정 (±15° 민감도 예정)</t>
  </si>
  <si>
    <t>최소 태양고도</t>
  </si>
  <si>
    <t>5</t>
  </si>
  <si>
    <t>이 고도 미만이면 열림</t>
  </si>
  <si>
    <t>가정</t>
  </si>
  <si>
    <t>창면적비</t>
  </si>
  <si>
    <t>40~50</t>
  </si>
  <si>
    <t>삼우TV 영상 2:17 (적정 창면적비)</t>
  </si>
  <si>
    <t>영상 근거</t>
  </si>
  <si>
    <t>시간 기준</t>
  </si>
  <si>
    <t>UTC+9</t>
  </si>
  <si>
    <t>한국 표준시, 일광절약 없음</t>
  </si>
  <si>
    <t>확정</t>
  </si>
  <si>
    <t>2일차 추가 입력</t>
  </si>
  <si>
    <t>단가 배율 (민감도)</t>
  </si>
  <si>
    <t>배수</t>
  </si>
  <si>
    <t>공사비 전체에 곱함</t>
  </si>
  <si>
    <t>기본값</t>
  </si>
  <si>
    <t>전기요금 배율 (민감도)</t>
  </si>
  <si>
    <t>에너지 비용에 곱함</t>
  </si>
  <si>
    <t>유지비 배율 (민감도)</t>
  </si>
  <si>
    <t>유지관리비에 곱함</t>
  </si>
  <si>
    <t>연 유지관리비율(반응형)</t>
  </si>
  <si>
    <t>내부·외부 반응형에 적용 · 단가조사 기준값 연결</t>
  </si>
  <si>
    <t>전동 구동장치 수명 (보호 유리 안 · 실내)</t>
  </si>
  <si>
    <t>교체비 반영은 회의 안건 9번(현재 미반영)</t>
  </si>
  <si>
    <t>일사량 - 시공 전(일반 통유리)</t>
  </si>
  <si>
    <t>kWh/㎡ (냉방기 6~9월, 1784 1~28층 평균, 창 면적 가중)</t>
  </si>
  <si>
    <t>혜연 GH 결과(연 환산) · 동·남·서면 창 면적 가중 평균, 북면 제외</t>
  </si>
  <si>
    <t>일사량 - 내부 반응형</t>
  </si>
  <si>
    <t>kWh/㎡ (냉방기, 1~28층 평균) = 통유리 − 0.45 × (통유리 − 외부 반응형)</t>
  </si>
  <si>
    <t>혜연 GH 결과</t>
  </si>
  <si>
    <t>일사량 - 외부 고정</t>
  </si>
  <si>
    <t>일사량 - 외부 반응형</t>
  </si>
  <si>
    <t>조명 사용량 - 시공 전(일반 통유리)</t>
  </si>
  <si>
    <t>조명 사용량 - 내부 반응형</t>
  </si>
  <si>
    <t>조명 사용량 - 외부 고정</t>
  </si>
  <si>
    <t>조명 사용량 - 외부 반응형</t>
  </si>
  <si>
    <t>차양계수 적용 (1=적용, 0=미적용)</t>
  </si>
  <si>
    <t>스위치 (0: 일사량이 이미 루버를 반영한 Radiance 값이라 끔)</t>
  </si>
  <si>
    <t>혜연 일사량이 루버 차폐를 이미 반영했다면 0 (이중계산 방지, 안건 6번)</t>
  </si>
  <si>
    <t>구동 유닛 수 (내부 반응형)</t>
  </si>
  <si>
    <t>가설 일수 (내부 설치)</t>
  </si>
  <si>
    <t>내부 시공은 곤돌라 불필요 가정, 고소작업 일수</t>
  </si>
  <si>
    <t>보호 유리 포함 - 외부 반응형 (1=포함)</t>
  </si>
  <si>
    <t>스위치</t>
  </si>
  <si>
    <t>외부 반응형 루버를 보호하는 바깥 유리. 면적은 창 면적 기준</t>
  </si>
  <si>
    <t>보호 유리 포함 - 외부 고정 (1=포함)</t>
  </si>
  <si>
    <t>고정 루버는 기본적으로 노출 설치</t>
  </si>
  <si>
    <t>주황 = 임시 테스트값(제가 결과가 계산되는지 보려고 넣은 값). 팀원이 실제값을 주면 바로 덮어쓰세요. 이 값으로 나온 결과는 의미가 없습니다.</t>
  </si>
  <si>
    <t>입면별 창 면적과 루버 설치 여부 (북면은 설치 안 함)</t>
  </si>
  <si>
    <t>창 면적 - 동면</t>
  </si>
  <si>
    <t>Revit (우정)</t>
  </si>
  <si>
    <t>창 면적 - 남면</t>
  </si>
  <si>
    <t>창 면적 - 서면</t>
  </si>
  <si>
    <t>창 면적 - 북면</t>
  </si>
  <si>
    <t>Revit (우정) · 루버 없음</t>
  </si>
  <si>
    <t>루버 설치 - 동면 (1/0)</t>
  </si>
  <si>
    <t>루버 설치 - 남면 (1/0)</t>
  </si>
  <si>
    <t>루버 설치 - 서면 (1/0)</t>
  </si>
  <si>
    <t>루버 설치 - 북면 (1/0)</t>
  </si>
  <si>
    <t>팀 결정: 북면은 직사광이 거의 없어 설치하지 않음</t>
  </si>
  <si>
    <t>루버 면적 / 창 면적 비</t>
  </si>
  <si>
    <t>구동 유닛 1개당 루버 면적</t>
  </si>
  <si>
    <t>㎡/개</t>
  </si>
  <si>
    <t>전동 구동장치 수명 (바깥 노출)</t>
  </si>
  <si>
    <t>보호 유리가 없을 때 (외부 반응형)</t>
  </si>
  <si>
    <t>보호 유리 청소·점검 비율</t>
  </si>
  <si>
    <t>% (유리값/년)</t>
  </si>
  <si>
    <t>보호 유리를 넣을 때만</t>
  </si>
  <si>
    <t>항목</t>
  </si>
  <si>
    <t>최소</t>
  </si>
  <si>
    <t>기준</t>
  </si>
  <si>
    <t>최대</t>
  </si>
  <si>
    <t>출처 (문서명·URL·날짜)</t>
  </si>
  <si>
    <t>어디서 찾나 (조사 힌트)</t>
  </si>
  <si>
    <t>① 자재</t>
  </si>
  <si>
    <t>알루미늄 외부 루버 자재</t>
  </si>
  <si>
    <t>원/㎡</t>
  </si>
  <si>
    <t>추정 (근거 없음, 학원 프로젝트 가정)</t>
  </si>
  <si>
    <t>확인하려면: 시공업체 견적, 나라장터 가격정보, 물가정보 자재가격</t>
  </si>
  <si>
    <t>추정</t>
  </si>
  <si>
    <t>고정 루버 지지 프레임·부속</t>
  </si>
  <si>
    <t>위와 동일(루버 단가에 포함인지 확인)</t>
  </si>
  <si>
    <t>② 구동·제어</t>
  </si>
  <si>
    <t>구동 유닛(모터·액추에이터)</t>
  </si>
  <si>
    <t>원/유닛</t>
  </si>
  <si>
    <t>제조사/대리점 견적. 공개 자료 거의 없음</t>
  </si>
  <si>
    <t>센서·제어 시스템(BMS 연동)</t>
  </si>
  <si>
    <t>원/식</t>
  </si>
  <si>
    <t>분석 입면 1개 기준 가정</t>
  </si>
  <si>
    <t>③ 설치</t>
  </si>
  <si>
    <t>루버 설치 시공 단가</t>
  </si>
  <si>
    <t>건설공사 표준품셈, 시공업체 견적</t>
  </si>
  <si>
    <t>④ 가설·장비</t>
  </si>
  <si>
    <t>곤돌라 임대·설치</t>
  </si>
  <si>
    <t>원/일</t>
  </si>
  <si>
    <t>임대업체 견적</t>
  </si>
  <si>
    <t>고소작업차</t>
  </si>
  <si>
    <t>⑤ 간접</t>
  </si>
  <si>
    <t>설계·감리비</t>
  </si>
  <si>
    <t>건축사 대가기준 등 요율 확인</t>
  </si>
  <si>
    <t>예비비</t>
  </si>
  <si>
    <t>운영</t>
  </si>
  <si>
    <t>연 유지관리비율(고정 루버, 루버 시스템비 대비)</t>
  </si>
  <si>
    <t>% (날·프레임·설치비)</t>
  </si>
  <si>
    <t>일반 건물 연 유지비 2~4%(재조달가 대비)의 낮은 쪽 — 움직이는 부분 없음 (가정)</t>
  </si>
  <si>
    <t>연 유지관리비율(반응형 루버, 루버 시스템비 대비)</t>
  </si>
  <si>
    <t>% (날·프레임·구동·설치비)</t>
  </si>
  <si>
    <t>일반 건물 연 유지비 2~4%(재조달가 대비, 상업 건물 가이드라인)의 중간 (가정)</t>
  </si>
  <si>
    <t>모터·센서 점검·교체 포함 가정, 고정보다 높게</t>
  </si>
  <si>
    <t>루버 수명(고정)</t>
  </si>
  <si>
    <t>알루미늄 외장재 내구연한</t>
  </si>
  <si>
    <t>제조사 모터 보증 실내 10년 참고 (가정)</t>
  </si>
  <si>
    <t>수명 중 교체비 반영 여부는 회의 안건 9번</t>
  </si>
  <si>
    <t>전기요금</t>
  </si>
  <si>
    <t>최대값 170: 증권사 리포트의 산업용 평균 보도(2025 4Q)·참고. 최소·기준은 추정</t>
  </si>
  <si>
    <t>한전 사이버지점 요금표로 확인 가능. 건물 계약종별(일반용/산업용) 결정 필요</t>
  </si>
  <si>
    <t>일부 참고</t>
  </si>
  <si>
    <t>① 자재(내부)</t>
  </si>
  <si>
    <t>내부 반응형 루버 자재</t>
  </si>
  <si>
    <t>내부 설치형 전동 루버(그린팩토리형) 가정. 제조사 견적 필요</t>
  </si>
  <si>
    <t>③ 설치(내부)</t>
  </si>
  <si>
    <t>내부 루버 설치 시공 단가</t>
  </si>
  <si>
    <t>비계·곤돌라 없이 내부에서 시공한다고 가정</t>
  </si>
  <si>
    <t>⑥ 소프트웨어</t>
  </si>
  <si>
    <t>수동 작동 앱 개발비 (앱+서버, 1회)</t>
  </si>
  <si>
    <t>반응형 루버를 수동으로도 조작하는 앱. 개발사 견적 필요</t>
  </si>
  <si>
    <t>앱 연 운영·유지 (서버·업데이트)</t>
  </si>
  <si>
    <t>원/년</t>
  </si>
  <si>
    <t>서버, 보안 업데이트, 문의 대응 포함 가정</t>
  </si>
  <si>
    <t>⑦ 보호 유리</t>
  </si>
  <si>
    <t>외부 루버 보호 유리 (외측 유리 스킨, 프레임 포함)</t>
  </si>
  <si>
    <t>외부 루버를 바람·비·오염으로부터 보호하는 바깥 유리. 1784의 바깥 저반사 유리와 같은 개념. 견적 필요</t>
  </si>
  <si>
    <t>메모</t>
  </si>
  <si>
    <t>반응형(전동) 외부 루버는 공개 단가가 거의 없습니다. 표의 모든 숫자는 근거 없는 추정입니다(학원 프로젝트 가정). 실제 견적을 얻으면 숫자와 출처를 교체하고 상태를 바꾸세요. 민감도(±30%)에서 결론이 유지되는지 보완합니다.</t>
  </si>
  <si>
    <t>제조사 모터 보증 실외 5년 참고 (가정)</t>
  </si>
  <si>
    <t>보호 유리 청소·점검</t>
  </si>
  <si>
    <t>추정 (가정)</t>
  </si>
  <si>
    <t>냉방 환산 방법 (간이)</t>
  </si>
  <si>
    <t>① 일사 취득열(kWh/년) = 입사 일사량(kWh/㎡·년) × 창 면적(㎡) × 유리 SHGC × 차양계수</t>
  </si>
  <si>
    <t>② 냉방 전력(kWh/년) = 일사 취득열 ÷ COP     ③ 냉방 전기요금(원/년) = 냉방 전력 × 전기요금 단가</t>
  </si>
  <si>
    <t>※ 정밀 시뮬레이션이 아니라 세 대안을 같은 방식으로 비교하는 상대 비교입니다.</t>
  </si>
  <si>
    <t>대안</t>
  </si>
  <si>
    <t>차양계수 최소</t>
  </si>
  <si>
    <t>차양계수 기준</t>
  </si>
  <si>
    <t>차양계수 최대</t>
  </si>
  <si>
    <t>출처 / 비고</t>
  </si>
  <si>
    <t>시공 전 (일반 통유리)</t>
  </si>
  <si>
    <t>[참고 범위·미검증] 내부 블라인드가 외부 장치보다 차폐가 약하다는 순서는 일반적이나 수치는 문헌(ASHRAE, KS L 9107, 국내 외부차양 실측 논문)에서 확인해 교체</t>
  </si>
  <si>
    <t>참고값</t>
  </si>
  <si>
    <t>내부 반응형 루버</t>
  </si>
  <si>
    <t>외부 고정 루버</t>
  </si>
  <si>
    <t>외부 반응형 루버</t>
  </si>
  <si>
    <t>이중계산 주의</t>
  </si>
  <si>
    <t>혜연의 일사량이 루버 기하까지 반영한 값이면 차양계수를 또 곱하면 이중계산입니다. 결정회의 안건 6번에서 정의하세요.</t>
  </si>
  <si>
    <t>※ 실제 계산은 8_시공전후 시트에서 이 차양계수 표(기준 열)를 가져다 씁니다.</t>
  </si>
  <si>
    <t>안건</t>
  </si>
  <si>
    <t>논의할 것 / 제안안</t>
  </si>
  <si>
    <t>필요 자료</t>
  </si>
  <si>
    <t>담당</t>
  </si>
  <si>
    <t>결정 결과</t>
  </si>
  <si>
    <t>입력값 목록</t>
  </si>
  <si>
    <t>1_입력값 시트 항목이 빠짐없는지, 누가 어떤 값을 언제 주는지 확인</t>
  </si>
  <si>
    <t>1_입력값 시트</t>
  </si>
  <si>
    <t>은미 진행</t>
  </si>
  <si>
    <t>분석 입면</t>
  </si>
  <si>
    <t>그린팩토리에서 어느 입면(방위)을 분석할지. 일사가 뚜렷한 입면 권장. 범용 시연에서 동·남·서향으로 돌릴 수 있는 직사각형 입면인지도 확인</t>
  </si>
  <si>
    <t>입면 사진, 배치도</t>
  </si>
  <si>
    <t>우정·혜연</t>
  </si>
  <si>
    <t>대표 실</t>
  </si>
  <si>
    <t>분석 입면에 면한 사무 공간 1개, 창측·중간·안쪽 3구역</t>
  </si>
  <si>
    <t>실 면적, 층고</t>
  </si>
  <si>
    <t>대표일 3개 vs 4개</t>
  </si>
  <si>
    <t>계획서는 3일(하지·춘추분·동지)인데 혜연은 춘분 3/21·하지 6/21·추분 9/23·동지 12/21 4일로 계산함 → 4일로 갈지 확정, 연간 환산 가중치(각 대표일이 약 3개월 대표) 정의</t>
  </si>
  <si>
    <t>가중치 합의</t>
  </si>
  <si>
    <t>혜연·서우</t>
  </si>
  <si>
    <t>대안 4개 정의</t>
  </si>
  <si>
    <t>시공 전(일반 통유리) / 내부 반응형(그린팩토리형) / 외부 고정(고정 각도, 루버 간격·깊이) / 외부 반응형(1784 규칙). 고정 각도 기준이 정해져야 물량이 나옴. 내부 반응형의 공사비를 신설 기준으로 잡을지 확인</t>
  </si>
  <si>
    <t>1784 모듈 치수, 루버 패밀리</t>
  </si>
  <si>
    <t>차양계수 이중계산 방지</t>
  </si>
  <si>
    <t>혜연의 일사량이 루버 차폐를 이미 반영하는지, 차양계수는 무엇에만 적용할지</t>
  </si>
  <si>
    <t>3_차폐·냉방환산 시트</t>
  </si>
  <si>
    <t>혜연·은미</t>
  </si>
  <si>
    <t>데이터 전달 형식</t>
  </si>
  <si>
    <t>파일 하나에 주인 한 명, 파일 사이는 CSV. 열 이름·단위(예: kWh/㎡·년), 파일명 규칙, 전달 시점(3일 저녁 관통)</t>
  </si>
  <si>
    <t>샘플 CSV</t>
  </si>
  <si>
    <t>전기요금 계약종별</t>
  </si>
  <si>
    <t>대상 건물을 일반용/산업용 중 무엇으로 볼지 결정 → 단가 근거</t>
  </si>
  <si>
    <t>한전 요금표</t>
  </si>
  <si>
    <t>경제성 지표 정의</t>
  </si>
  <si>
    <t>회수기간 = 총공사비 ÷ 연 순절감액(단순) / 할인율 사용 여부 / 수명 기간 / 전동 장치 교체비 반영 여부</t>
  </si>
  <si>
    <t>일정·판단 규칙</t>
  </si>
  <si>
    <t>스탠드업 시간·장소. 3일 저녁 Unity 기준(모델이 열리고 태양을 날짜·시각으로 움직일 수 있나), 5일 아침 반사광 기준(4일차까지 세 대안 경제성 표가 나왔나)</t>
  </si>
  <si>
    <t>1784 개폐 시각 (혜연 · 검증용 가정 시나리오 v1, 2026.10.06)</t>
  </si>
  <si>
    <t>규칙: 태양 방위와 입면 정면의 방위차가 컷오프 이하이고 태양 고도 5° 이상이면 닫고, 아니면 연다. 공개 자료에 방위별 개폐 시각이 없어 태양 위치로 계산한 가정이다.</t>
  </si>
  <si>
    <t>위치 37.35888°N 127.10518°E (1784, OSM) · 한국 표준시 UTC+9 · 컷오프는 표준·1784 자료가 아닌 팀 가정(±15° 민감도 예정)</t>
  </si>
  <si>
    <t>날짜</t>
  </si>
  <si>
    <t>컷오프(°)</t>
  </si>
  <si>
    <t>입면방위각</t>
  </si>
  <si>
    <t>닫힘 시작</t>
  </si>
  <si>
    <t>닫힘 종료</t>
  </si>
  <si>
    <t>일출</t>
  </si>
  <si>
    <t>일몰</t>
  </si>
  <si>
    <t>정오 고도(°)</t>
  </si>
  <si>
    <t>닫힘 시간(h)</t>
  </si>
  <si>
    <t>춘분</t>
  </si>
  <si>
    <t>3/21</t>
  </si>
  <si>
    <t>동</t>
  </si>
  <si>
    <t>07:06</t>
  </si>
  <si>
    <t>09:34</t>
  </si>
  <si>
    <t>닫힘</t>
  </si>
  <si>
    <t>06:40</t>
  </si>
  <si>
    <t>18:40</t>
  </si>
  <si>
    <t>남</t>
  </si>
  <si>
    <t>11:23</t>
  </si>
  <si>
    <t>13:57</t>
  </si>
  <si>
    <t>서</t>
  </si>
  <si>
    <t>15:46</t>
  </si>
  <si>
    <t>18:15</t>
  </si>
  <si>
    <t>북</t>
  </si>
  <si>
    <t>종일 열림</t>
  </si>
  <si>
    <t>하지</t>
  </si>
  <si>
    <t>6/21</t>
  </si>
  <si>
    <t>05:44</t>
  </si>
  <si>
    <t>11:59</t>
  </si>
  <si>
    <t>05:16</t>
  </si>
  <si>
    <t>19:51</t>
  </si>
  <si>
    <t>11:05</t>
  </si>
  <si>
    <t>14:02</t>
  </si>
  <si>
    <t>13:07</t>
  </si>
  <si>
    <t>19:22</t>
  </si>
  <si>
    <t>추분</t>
  </si>
  <si>
    <t>9/23</t>
  </si>
  <si>
    <t>06:49</t>
  </si>
  <si>
    <t>10:20</t>
  </si>
  <si>
    <t>06:23</t>
  </si>
  <si>
    <t>18:25</t>
  </si>
  <si>
    <t>14:29</t>
  </si>
  <si>
    <t>18:00</t>
  </si>
  <si>
    <t>동지</t>
  </si>
  <si>
    <t>12/21</t>
  </si>
  <si>
    <t>07:47</t>
  </si>
  <si>
    <t>17:13</t>
  </si>
  <si>
    <t>10:29</t>
  </si>
  <si>
    <t>14:30</t>
  </si>
  <si>
    <t>근거 · 한계</t>
  </si>
  <si>
    <t>삼우TV 영상 2:17 - 적정 창면적비 40~50%</t>
  </si>
  <si>
    <t>삼우TV 영상 4:16 - 루버를 열면 창면적비 최대, 닫으면 창면적 축소 효과</t>
  </si>
  <si>
    <t>삼우TV 영상 11:19 - 동서남북 4방향별 수직 루버 타공률이 다름</t>
  </si>
  <si>
    <t>건축사신문, heyPOP 등 기사 - 방위별 개폐 수치 없음(혜연 확인)</t>
  </si>
  <si>
    <t>컷오프·최소 고도는 팀 가정값. 흐린 날, 주변 건물 그림자, 조도는 반영하지 않음</t>
  </si>
  <si>
    <t>입면 방위는 지도 기준이라 우정 모델과 대조 필요</t>
  </si>
  <si>
    <t>hoy</t>
  </si>
  <si>
    <t>시각</t>
  </si>
  <si>
    <t>고도</t>
  </si>
  <si>
    <t>방위</t>
  </si>
  <si>
    <t>벡터X_동</t>
  </si>
  <si>
    <t>벡터Y_북</t>
  </si>
  <si>
    <t>벡터Z_위</t>
  </si>
  <si>
    <t>컷오프</t>
  </si>
  <si>
    <t>동면</t>
  </si>
  <si>
    <t>남면</t>
  </si>
  <si>
    <t>서면</t>
  </si>
  <si>
    <t>북면</t>
  </si>
  <si>
    <t>열림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</si>
  <si>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</si>
  <si>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</si>
  <si>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</si>
  <si>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</si>
  <si>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</si>
  <si>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</si>
  <si>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</si>
  <si>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</si>
  <si>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</si>
  <si>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</si>
  <si>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</si>
  <si>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</si>
  <si>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</si>
  <si>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</si>
  <si>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</si>
  <si>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</si>
  <si>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</si>
  <si>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</si>
  <si>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</si>
  <si>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</si>
  <si>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</si>
  <si>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</si>
  <si>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</si>
  <si>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</si>
  <si>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</si>
  <si>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</si>
  <si>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</si>
  <si>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</si>
  <si>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</si>
  <si>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</si>
  <si>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</si>
  <si>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</si>
  <si>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</si>
  <si>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</si>
  <si>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</si>
  <si>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</si>
  <si>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</si>
  <si>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</si>
  <si>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</si>
  <si>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</si>
  <si>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</si>
  <si>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</si>
  <si>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</si>
  <si>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</si>
  <si>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</si>
  <si>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</si>
  <si>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</si>
  <si>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</si>
  <si>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</si>
  <si>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</si>
  <si>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</si>
  <si>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</si>
  <si>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</si>
  <si>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</si>
  <si>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</si>
  <si>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</si>
  <si>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</si>
  <si>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</si>
  <si>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</si>
  <si>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</si>
  <si>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</si>
  <si>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</si>
  <si>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</si>
  <si>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</si>
  <si>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</si>
  <si>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18:10</t>
  </si>
  <si>
    <t>18:20</t>
  </si>
  <si>
    <t>18:30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</si>
  <si>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</si>
  <si>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</si>
  <si>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</si>
  <si>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</si>
  <si>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</si>
  <si>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</si>
  <si>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</si>
  <si>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</si>
  <si>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18:50</t>
  </si>
  <si>
    <t>19:00</t>
  </si>
  <si>
    <t>19:10</t>
  </si>
  <si>
    <t>19:20</t>
  </si>
  <si>
    <t>19:30</t>
  </si>
  <si>
    <t>19:40</t>
  </si>
  <si>
    <t>19:50</t>
  </si>
  <si>
    <t>① 공사비 산출 — 얼마 드나</t>
  </si>
  <si>
    <t>모든 단가는 2_단가조사 기준값 × 단가 배율. 물량은 1_입력값(우정 Revit 일람표). 루버는 동·남·서면에만 설치(북면 제외). 시공 전(일반 통유리)은 공사비 0.</t>
  </si>
  <si>
    <t>산출 근거</t>
  </si>
  <si>
    <t>내부 반응형</t>
  </si>
  <si>
    <t>외부 고정</t>
  </si>
  <si>
    <t>외부 반응형</t>
  </si>
  <si>
    <t>루버 자재</t>
  </si>
  <si>
    <t>루버 면적 × ㎡당 단가 (내부는 내부 루버 단가)</t>
  </si>
  <si>
    <t>지지 프레임·부속</t>
  </si>
  <si>
    <t>루버 면적 × ㎡당 단가 (내부는 자재 단가에 포함 가정)</t>
  </si>
  <si>
    <t>구동장치·센서·제어</t>
  </si>
  <si>
    <t>구동 유닛 수 × 단가 + 제어 시스템 (반응형만)</t>
  </si>
  <si>
    <t>소프트웨어(앱) 개발</t>
  </si>
  <si>
    <t>수동 작동 앱 개발비 1회 (반응형만)</t>
  </si>
  <si>
    <t>보호 유리</t>
  </si>
  <si>
    <t>창 면적 × 보호 유리 단가 × 포함 스위치 (외부만)</t>
  </si>
  <si>
    <t>설치 공사</t>
  </si>
  <si>
    <t>설치 면적 × 시공 단가</t>
  </si>
  <si>
    <t>가설·장비</t>
  </si>
  <si>
    <t>내부: 고소작업 일수 × 일대 / 외부: 일수 × (곤돌라 + 고소작업차)</t>
  </si>
  <si>
    <t>직접 공사비</t>
  </si>
  <si>
    <t>위 항목 합계</t>
  </si>
  <si>
    <t>직접 공사비 × 비율</t>
  </si>
  <si>
    <t>총 공사비</t>
  </si>
  <si>
    <t>직접 공사비 + 설계·감리 + 예비비</t>
  </si>
  <si>
    <t>② 시공 전 · 후 비교 (연간) — 무엇이 달라지나</t>
  </si>
  <si>
    <t>냉방 = 일사량 × 창 면적 × 냉방 부하/일사 (1.13, 팀 EnergyPlus) ÷ 냉방 COP (3.5). 일사량은 팀 Radiance 1784 1~28층 평균. 루버를 다는 동·남·서면만 계산합니다(북면은 모든 대안에서 같아 비교에서 상쇄). 난방 증가분은 13_탄소·계절효과에서 가져와 에너지 비용에 넣습니다.</t>
  </si>
  <si>
    <t>적용 차양계수</t>
  </si>
  <si>
    <t>차양계수 표(기준) 또는 1(미적용)</t>
  </si>
  <si>
    <t>입사 일사량 (kWh/㎡·년)</t>
  </si>
  <si>
    <t>냉방 부하 (kWh/년)</t>
  </si>
  <si>
    <t>일사량 × 창면적 × 냉방 부하/일사 (1.13) × 차양계수</t>
  </si>
  <si>
    <t>냉방 전력 (kWh/년)</t>
  </si>
  <si>
    <t>냉방 부하 ÷ 냉방 COP (3.5)</t>
  </si>
  <si>
    <t>냉방 전기요금 (원/년)</t>
  </si>
  <si>
    <t>냉방 전력 × 전기요금</t>
  </si>
  <si>
    <t>조명 전력 (kWh/년)</t>
  </si>
  <si>
    <t>조명 전기요금 (원/년)</t>
  </si>
  <si>
    <t>조명 전력 × 전기요금</t>
  </si>
  <si>
    <t>연간 에너지 비용 (원)</t>
  </si>
  <si>
    <t>냉방 + 조명 + 난방 증가분 (13_탄소 ③)</t>
  </si>
  <si>
    <t>연간 에너지 절감액 (시공 전 대비)</t>
  </si>
  <si>
    <t>시공 전 비용 − 대안 비용</t>
  </si>
  <si>
    <t>추가 유지관리비 (원/년)</t>
  </si>
  <si>
    <t>루버 시스템비 (날·프레임·구동·설치) × 유지비율 + 보호 유리 × 1% + 구동장치 교체 (보호 10년 / 노출 5년마다, 수명 안 횟수 ÷ 수명) + 앱 연 운영비</t>
  </si>
  <si>
    <t>연간 순절감액 (원)</t>
  </si>
  <si>
    <t>에너지 절감 − 추가 유지관리비</t>
  </si>
  <si>
    <t>주변 아파트 반사광 도달 시간</t>
  </si>
  <si>
    <t>확장 시 (5일차 판단)</t>
  </si>
  <si>
    <t>③ 발주처 이익 — 그래서 얼마 남나</t>
  </si>
  <si>
    <t>시공 전(일반 통유리) 대비 값입니다. 분석 기간은 루버 수명. 전기요금 인상은 10_누적·민감도의 누적 곡선에 반영하고, 이 표는 현재 요금 기준 단순 계산입니다.</t>
  </si>
  <si>
    <t>지표</t>
  </si>
  <si>
    <t>총 공사비 (원)</t>
  </si>
  <si>
    <t>7_공사비</t>
  </si>
  <si>
    <t>8_시공전후</t>
  </si>
  <si>
    <t>회수 기간 (년)</t>
  </si>
  <si>
    <t>총 공사비 ÷ 연 순절감액</t>
  </si>
  <si>
    <t>분석 기간 (년)</t>
  </si>
  <si>
    <t>수명 기간 누적 순이익 (원)</t>
  </si>
  <si>
    <t>순절감액 × 기간 − 공사비</t>
  </si>
  <si>
    <t>투자 수익률 (연, %)</t>
  </si>
  <si>
    <t>연 순절감액 ÷ 총 공사비 × 100</t>
  </si>
  <si>
    <t>손익분기 연도 (전기요금 인상 반영)</t>
  </si>
  <si>
    <t>누적 비용이 시공 전보다 낮아지는 첫 해 (10_누적·민감도, 최대 60년, 인센티브 스위치 반영)</t>
  </si>
  <si>
    <t>인센티브 일시 혜택 (원)</t>
  </si>
  <si>
    <t>11_인센티브 (스위치 켠 경우만, 공사비에서 차감하는 효과)</t>
  </si>
  <si>
    <t>인센티브 연 혜택 (원/년)</t>
  </si>
  <si>
    <t>재산세 감면 + 이자지원 (감면 기간 동안)</t>
  </si>
  <si>
    <t>숫자로 안 잡히는 이익</t>
  </si>
  <si>
    <t>외관 변화(내부·외부 루버 연출), 실내 쾌적성, 내부 루버 연출 유지(반응형), 주변 민원·분쟁 위험 감소(확장 시), 이미 검증된 방식(1784)</t>
  </si>
  <si>
    <t>주의</t>
  </si>
  <si>
    <t>구동장치 교체비 반영: 보호 유리 안 · 실내 10년, 바깥 노출 5년마다 구동 유닛 전체 교체 (8_시공전후 13행). 에너지 절감에 난방 증가분 포함.</t>
  </si>
  <si>
    <t>누적 비용 (공사비 + 운영비 누적) — 건우에게 그래프 디자인용 데이터</t>
  </si>
  <si>
    <t>전기요금 연 인상률 반영. 엑셀에서 A~E열을 선택 → 삽입 → 꺾은선 차트로 바로 그릴 수 있습니다. 선이 교차하는 연도가 회수 연도입니다.</t>
  </si>
  <si>
    <t>연도</t>
  </si>
  <si>
    <t>시공 전 (통유리)</t>
  </si>
  <si>
    <t>손익분기 연도(내부)</t>
  </si>
  <si>
    <t>손익분기 연도(외부 고정)</t>
  </si>
  <si>
    <t>손익분기 연도(외부 반응)</t>
  </si>
  <si>
    <t>민감도 — 결론이 유지되는지</t>
  </si>
  <si>
    <t>시나리오</t>
  </si>
  <si>
    <t>단가 배율</t>
  </si>
  <si>
    <t>전기요금 배율</t>
  </si>
  <si>
    <t>유지비 배율</t>
  </si>
  <si>
    <t>내부반응 공사비</t>
  </si>
  <si>
    <t>내부반응 연 순절감</t>
  </si>
  <si>
    <t>내부반응 회수(년)</t>
  </si>
  <si>
    <t>내부반응 수명 누적</t>
  </si>
  <si>
    <t>외부고정 공사비</t>
  </si>
  <si>
    <t>외부고정 연 순절감</t>
  </si>
  <si>
    <t>외부고정 회수(년)</t>
  </si>
  <si>
    <t>외부고정 수명 누적</t>
  </si>
  <si>
    <t>외부반응 공사비</t>
  </si>
  <si>
    <t>외부반응 연 순절감</t>
  </si>
  <si>
    <t>외부반응 회수(년)</t>
  </si>
  <si>
    <t>외부반응 수명 누적</t>
  </si>
  <si>
    <t>단가 -30%</t>
  </si>
  <si>
    <t>단가 +30%</t>
  </si>
  <si>
    <t>전기요금 -30%</t>
  </si>
  <si>
    <t>전기요금 +30%</t>
  </si>
  <si>
    <t>유지비 +50%</t>
  </si>
  <si>
    <t>불리한 조합 (단가+30%, 전기-30%, 유지+50%)</t>
  </si>
  <si>
    <t>유리한 조합 (단가-30%, 전기+30%)</t>
  </si>
  <si>
    <t>방위별 회수 기간(동·남·서향)은 5일차에 혜연의 방위별 일사량이 오면 1_입력값 36~39행을 방위별로 바꿔 돌린 값을 기록할 표를 추가합니다.</t>
  </si>
  <si>
    <t>인증 인센티브 (신축 / 리모델링) — 가정값, 기본은 꺼짐</t>
  </si>
  <si>
    <t>에너지효율등급·녹색건축·제로에너지건축물 인증은 건물 전체 성능으로 받습니다. 루버만으로 등급이 오른다는 보장은 없어, 아래는 "인증을 받는다고 가정할 때"의 시나리오입니다. 감면율·기간은 지자체와 시기에 따라 달라 확인이 필요합니다.</t>
  </si>
  <si>
    <t>입력</t>
  </si>
  <si>
    <t>설명 · 근거</t>
  </si>
  <si>
    <t>인센티브 반영 (1=반영, 0=미반영)</t>
  </si>
  <si>
    <t>0이면 다른 시트에 영향 없음</t>
  </si>
  <si>
    <t>시나리오 (신축 / 리모델링)</t>
  </si>
  <si>
    <t>신축</t>
  </si>
  <si>
    <t>선택</t>
  </si>
  <si>
    <t>신축: 취득세·재산세 감면 / 리모델링: 이자지원·재산세 감면</t>
  </si>
  <si>
    <t>건물 취득가액 (신축)</t>
  </si>
  <si>
    <t>원</t>
  </si>
  <si>
    <t>임시 테스트값. 공사비 총액 기준으로 교체</t>
  </si>
  <si>
    <t>취득세율 (신축 원시취득, 부가세 포함)</t>
  </si>
  <si>
    <t>추정. 지방세법 세율 확인 필요</t>
  </si>
  <si>
    <t>취득세 감면율</t>
  </si>
  <si>
    <t>서울시 안내 5~15% (등급별). 출처: 서울시 미디어허브 · 지자체 확인 필요</t>
  </si>
  <si>
    <t>연 재산세 (감면 전)</t>
  </si>
  <si>
    <t>재산세 감면율</t>
  </si>
  <si>
    <t>서울시 안내 3~15% (등급별)</t>
  </si>
  <si>
    <t>재산세 감면 기간</t>
  </si>
  <si>
    <t>가정. 지자체 확인 필요</t>
  </si>
  <si>
    <t>대출 비율 (공사비 대비, 리모델링)</t>
  </si>
  <si>
    <t>이자지원율</t>
  </si>
  <si>
    <t>가정. 그린리모델링 이자지원은 최대 5.5%로 보도됨(2026). 대상 공사·조건 확인 필요</t>
  </si>
  <si>
    <t>이자지원 기간</t>
  </si>
  <si>
    <t>대안별 계산</t>
  </si>
  <si>
    <t>설명</t>
  </si>
  <si>
    <t>인증 등급 상승 인정 (1/0)</t>
  </si>
  <si>
    <t>대안이 건물 등급을 올린다고 가정하면 1</t>
  </si>
  <si>
    <t>[신축] 취득세 감면 (일시)</t>
  </si>
  <si>
    <t>취득가액 × 세율 × 감면율</t>
  </si>
  <si>
    <t>[공통] 재산세 감면 (연)</t>
  </si>
  <si>
    <t>연 재산세 × 감면율</t>
  </si>
  <si>
    <t>[리모델링] 이자지원 (연)</t>
  </si>
  <si>
    <t>총 공사비 × 대출비율 × 지원율</t>
  </si>
  <si>
    <t>적용되는 금액 (스위치·시나리오 반영)</t>
  </si>
  <si>
    <t>다른 시트로 가는 값</t>
  </si>
  <si>
    <t>일시 혜택 (공사비 차감 효과)</t>
  </si>
  <si>
    <t>재산세 감면 (연, 기간 동안)</t>
  </si>
  <si>
    <t>이자지원 (연, 기간 동안)</t>
  </si>
  <si>
    <t>일차</t>
  </si>
  <si>
    <t>할 일</t>
  </si>
  <si>
    <t>넘길 것 → 받는 사람</t>
  </si>
  <si>
    <t>판단 지점</t>
  </si>
  <si>
    <t>완료</t>
  </si>
  <si>
    <t>함께·조사</t>
  </si>
  <si>
    <t>공사비 항목별 단가 조사(자재·구동·설치·가설·설계감리)</t>
  </si>
  <si>
    <t>단가표(출처) → 전원</t>
  </si>
  <si>
    <t>☐</t>
  </si>
  <si>
    <t>유지비·수명, 전기요금, 차폐계수·냉방 환산 방법</t>
  </si>
  <si>
    <t>결정 메모 → 전원</t>
  </si>
  <si>
    <t>결정 회의: 입력값 목록, 분석 입면, 대표일, 대안 정의</t>
  </si>
  <si>
    <t>함께·틀</t>
  </si>
  <si>
    <t>입력값 시트 + 공사비·시공 전후·발주처 이익 시트</t>
  </si>
  <si>
    <t>시트 틀 → 전원</t>
  </si>
  <si>
    <t>보고서 템플릿 서식, 일정표 공유, 첫 스탠드업</t>
  </si>
  <si>
    <t>보고서 템플릿 → 전원</t>
  </si>
  <si>
    <t>루버 패밀리 파라미터 이름 합의</t>
  </si>
  <si>
    <t>파라미터 이름표 → 은미 참조</t>
  </si>
  <si>
    <t>분석·보고서 조</t>
  </si>
  <si>
    <t>단가 확정, 우정 물량으로 공사비 1차</t>
  </si>
  <si>
    <t>작동하는 시트 → 전원</t>
  </si>
  <si>
    <t>저녁 관통에 시트 연결</t>
  </si>
  <si>
    <t>은미·혜연</t>
  </si>
  <si>
    <t>Unity 판단 회의 (모델이 열리고 태양을 날짜·시각으로 움직이나)</t>
  </si>
  <si>
    <t>은미 진행(건우·혜연)</t>
  </si>
  <si>
    <t>Unity 결정 → 전원</t>
  </si>
  <si>
    <t>3일차 저녁</t>
  </si>
  <si>
    <t>③ 적용</t>
  </si>
  <si>
    <t>혜연 일사량 → 냉방 전력 환산, 서우 조명 값 반영</t>
  </si>
  <si>
    <t>시공 전후 비교·발주처 이익 1차</t>
  </si>
  <si>
    <t>1차 비교표·이익표 → 전원</t>
  </si>
  <si>
    <t>보고서 1장(개요, 1784 선례)·2장 초안</t>
  </si>
  <si>
    <t>확정·④ 범용</t>
  </si>
  <si>
    <t>반사광 판단 회의 (4일차까지 세 대안 경제성 표가 나왔나)</t>
  </si>
  <si>
    <t>은미 진행(혜연)</t>
  </si>
  <si>
    <t>5일차 아침</t>
  </si>
  <si>
    <t>민감도, 누적 비용 그래프, 방위별 회수 기간</t>
  </si>
  <si>
    <t>그래프 → 건우(디자인)</t>
  </si>
  <si>
    <t>보고서 5장 초안</t>
  </si>
  <si>
    <t>확정 표 → 전원</t>
  </si>
  <si>
    <t>생산 라인</t>
  </si>
  <si>
    <t>보고서 완성: 템플릿 + 그린팩토리 적용본, 모두의 초안·그림 취합</t>
  </si>
  <si>
    <t>보고서 완성본 → 전원</t>
  </si>
  <si>
    <t>결론과 권고, 부록(가정값·출처·적용 범위)</t>
  </si>
  <si>
    <t>우정 최종 물량과 보고서 공사비 대조</t>
  </si>
  <si>
    <t>은미·우정</t>
  </si>
  <si>
    <t>함께·발표 준비</t>
  </si>
  <si>
    <t>보고서 최종 교정, 제출본 정리</t>
  </si>
  <si>
    <t>팀원 예상 질문 취합, 리허설 시간 재기</t>
  </si>
  <si>
    <t>예상 질문 묶음 → 혜연</t>
  </si>
  <si>
    <t>매일 저녁 스탠드업</t>
  </si>
  <si>
    <t>10분: 오늘 한 것 · 막힌 것 · 내일 할 것 · 판단 지점. 파일 하나에 주인 한 명, 파일 사이는 CSV, 공유 Revit 모델 수정은 우정만.</t>
  </si>
  <si>
    <t>④ 탄소 · 계절 효과 — 친환경 관점 (통유리 대비)</t>
  </si>
  <si>
    <t>주황 칸 = 가정값(바꿔도 됨). 냉방·조명은 8_시공전후에서, 겨울 난방 손실은 팀 Radiance 층별 solar_result (1784 1~28층 평균, 14_Radiance ⑦) 로 계산.</t>
  </si>
  <si>
    <t>가정값</t>
  </si>
  <si>
    <t>전력 탄소 배출계수 (tCO₂/MWh)</t>
  </si>
  <si>
    <t>[국가 고시값 확인 후 교체]</t>
  </si>
  <si>
    <t>난방 기간 (일, 11~3월)</t>
  </si>
  <si>
    <t>팀 v9: 난방기 11~3월</t>
  </si>
  <si>
    <t>날씨 보정 (Radiance는 실제 날씨 반영 → 1)</t>
  </si>
  <si>
    <t>난방 효율 (히트펌프 COP)</t>
  </si>
  <si>
    <t>가정 (냉방 COP와 같은 방식)</t>
  </si>
  <si>
    <t>난방기 하루 평균 창 일사량 (kWh, 루버 설치면 창 합)</t>
  </si>
  <si>
    <t>Radiance 난방기 통유리 (1784 1~28층 평균, 창 면적 가중) ÷ 151일</t>
  </si>
  <si>
    <t>외부 반응형 겨울 모드 (1=사용: 난방일에 날을 해와 나란히, 눈부신 시각 0°)</t>
  </si>
  <si>
    <t>팀 v9 (winter_calendar.csv, 성남 1/1~4/17 · 10/30~12/31)</t>
  </si>
  <si>
    <t>겨울 모드 켬 투과 비율 (Radiance, 1~28층 평균)</t>
  </si>
  <si>
    <t>14_Radiance ⑦</t>
  </si>
  <si>
    <t>난방 부하 / 창 일사 (kWh/kWh)</t>
  </si>
  <si>
    <t>팀 EnergyPlus 민감도 (0.48~0.65 중간값, 1784 9층 서남 모서리 방). 다른 건물은 간이 추정 · 난방 ±20%</t>
  </si>
  <si>
    <t>② (참고, 예전 9층 대표일) 대표일별 창 일사 비율 (통유리 = 100%)</t>
  </si>
  <si>
    <t>통유리</t>
  </si>
  <si>
    <t>외부 고정 (날 0°)</t>
  </si>
  <si>
    <t>외부 반응형 (현재 규칙)</t>
  </si>
  <si>
    <t>외부 반응형 + 겨울 모드</t>
  </si>
  <si>
    <t>해석</t>
  </si>
  <si>
    <t>여름: 고정 0°는 63%를 들이고, 반응형은 37%만 들인다</t>
  </si>
  <si>
    <t>겨울: 현재 규칙은 28%만 받음 → 겨울 모드(0° 고정)는 52%</t>
  </si>
  <si>
    <t>출처: 14_Radiance(팀) 시트. 외부 고정은 조망 · 미관 기준 0°. 45°는 14번 시트 참고. 겨울 모드 0.95는 우리 제안값(Radiance 미계산).</t>
  </si>
  <si>
    <t>③ 겨울 햇빛을 막아 생기는 난방 전력 증가 (통유리 대비, MWh/년)</t>
  </si>
  <si>
    <t>근거</t>
  </si>
  <si>
    <t>난방기 창 일사 비율 (통유리 = 1)</t>
  </si>
  <si>
    <t>14_Radiance ⑦ 난방기 합계 비율 (1~28층 평균) · 내부 루버는 열이 실내에 남아 1</t>
  </si>
  <si>
    <t>난방기 창 일사가 만드는 난방 부하 감소 (MWh)</t>
  </si>
  <si>
    <t>하루 입사 × 투과 × 일수 × 날씨 보정 × 난방 부하/일사 (0.56)</t>
  </si>
  <si>
    <t>난방 전력 증가 (MWh/년)</t>
  </si>
  <si>
    <t>잃은 햇빛 열 ÷ COP</t>
  </si>
  <si>
    <t>④ 종합: 순 전력 절감과 탄소 감축 (통유리 대비)</t>
  </si>
  <si>
    <t>냉방 전력 절감 (MWh/년)</t>
  </si>
  <si>
    <t>8_시공전후 7행</t>
  </si>
  <si>
    <t>조명 전력 증가 (MWh/년)</t>
  </si>
  <si>
    <t>8_시공전후 9행</t>
  </si>
  <si>
    <t>③</t>
  </si>
  <si>
    <t>순 전력 절감 (MWh/년)</t>
  </si>
  <si>
    <t>냉방 − 조명 − 난방</t>
  </si>
  <si>
    <t>탄소 감축 (tCO₂/년)</t>
  </si>
  <si>
    <t>× 배출계수</t>
  </si>
  <si>
    <t>분석 기간 탄소 감축 (tCO₂)</t>
  </si>
  <si>
    <t>× 루버 수명</t>
  </si>
  <si>
    <t>탄소 1톤 줄이는 데 드는 공사비 (만 원/tCO₂)</t>
  </si>
  <si>
    <t>총 공사비 ÷ 기간 감축량</t>
  </si>
  <si>
    <t>겨울 모드를 0으로 바꾸면 외부 반응형의 겨울 손실이 커진다. 외부 반응형 이점은 여름 직달을 막고(냉방기 감소율 1~28층 평균 동 69 · 남 66 · 서 69%), 겨울 모드로 겨울 햇빛을 대부분 받는 데 있다.</t>
  </si>
  <si>
    <t>⑤ (참고) 팀 Radiance 결과 — 9층 대표일 창 일사량 (주변 건물 325개 그림자 반영)</t>
  </si>
  <si>
    <t>출처: Alternatives_3way_9F_Shadow_Radiance.csv (Radiance, 날 3D 차단 · 반사, 날 반사율 0.5, 월평균 날씨, 창면적비 0.45, 날 폭 300 / 간격 350). 창 1㎡당 하루 일사량(kWh/㎡·일). 반응형 = 층별 스케줄(그늘이면 열림).</t>
  </si>
  <si>
    <t>9층 창 ㎡</t>
  </si>
  <si>
    <t>외부 고정 0°</t>
  </si>
  <si>
    <t>외부 고정 45°</t>
  </si>
  <si>
    <t>그림자 없을 때 통유리</t>
  </si>
  <si>
    <t>E</t>
  </si>
  <si>
    <t>S</t>
  </si>
  <si>
    <t>W</t>
  </si>
  <si>
    <t>N</t>
  </si>
  <si>
    <t>루버 설치면(동 · 남 · 서) 면적 가중 평균 (kWh/㎡·일)</t>
  </si>
  <si>
    <t>면적 ㎡</t>
  </si>
  <si>
    <t>계절 합계 (kWh/㎡) — 엑셀 계산에 쓰는 값</t>
  </si>
  <si>
    <t>기간</t>
  </si>
  <si>
    <t>일수</t>
  </si>
  <si>
    <t>환산 방법</t>
  </si>
  <si>
    <t>냉방기 6~9월</t>
  </si>
  <si>
    <t>하지 × 92일 + 추분 × 30일</t>
  </si>
  <si>
    <t>난방기 12~2월</t>
  </si>
  <si>
    <t>동지 × 90일</t>
  </si>
  <si>
    <t>냉방기 통유리 대비</t>
  </si>
  <si>
    <t>난방기 통유리 대비</t>
  </si>
  <si>
    <t>날 간격에 따른 감소율 (%, Spacing_Sensitivity.csv)</t>
  </si>
  <si>
    <t>간격 mm</t>
  </si>
  <si>
    <t>해석: 외부 고정 45°는 일사를 반응형만큼 줄이지만 날이 늘 기울어 조망을 가리고 겨울 햇빛도 막는다. 반응형은 그늘일 때 열리고, 겨울 모드(우리 제안)를 쓰면 겨울 햇빛을 받을 수 있다. 내부 반응형은 Radiance 계산이 없어 통유리 × 0.55(기존 차양계수)로 둔다.</t>
  </si>
  <si>
    <t>⑥ (참고, 예전) 9층 solar_result — 난방기 12~2월 · 겨울 모드 0° 고정. 지금 계산은 아래 ⑦ 을 씀</t>
  </si>
  <si>
    <t>출처: solar_result_winter_off.json · solar_result_winter_on (1).json (10/12, 겨울 모드 = 12~2월 날 0° 고정). Radiance, 서울(성남) TMY 월평균 시간별, 주변 건물 325개, 9층 면 중앙 1㎡, 날 폭 300 / 간격 350. 단위 kWh/㎡ (계절 합계).</t>
  </si>
  <si>
    <t>냉방 통유리</t>
  </si>
  <si>
    <t>냉방 고정 0°</t>
  </si>
  <si>
    <t>냉방 반응형</t>
  </si>
  <si>
    <t>난방 통유리</t>
  </si>
  <si>
    <t>난방 고정 0°</t>
  </si>
  <si>
    <t>난방 반응형 (겨울 모드 끔)</t>
  </si>
  <si>
    <t>난방 반응형 (겨울 모드 켬 = 12~2월 날 0° 고정)</t>
  </si>
  <si>
    <t>닫힘 시간 켬/끔 h</t>
  </si>
  <si>
    <t>날 회전 켬/끔 °</t>
  </si>
  <si>
    <t>586 / 614</t>
  </si>
  <si>
    <t>52176 / 56015</t>
  </si>
  <si>
    <t>926 / 1268</t>
  </si>
  <si>
    <t>49500 / 65700</t>
  </si>
  <si>
    <t>1106 / 1134</t>
  </si>
  <si>
    <t>46273 / 50194</t>
  </si>
  <si>
    <t>0 / 0</t>
  </si>
  <si>
    <t>동·남·서 가중</t>
  </si>
  <si>
    <t>통유리 대비</t>
  </si>
  <si>
    <t>(예전 자료) 겨울 모드(12~2월 날 0° 고정)를 켜면 외부 반응형이 겨울 햇빛을 통유리 대비 약 52% 받는다(외부 고정 0°와 같은 자세라 같은 값). 끄면(규칙대로 닫음) 28%. 내부 반응형은 Radiance 계산이 없어, 외부 반응형과 같은 시간에 닫히고 막은 햇빛의 55%가 실내에 남는다고 둔다 (냉방기 = 통유리 − 0.45 × (통유리 − 외부 반응형)).</t>
  </si>
  <si>
    <t>⑦ 층별 solar_result — 1784 1~28층 평균 (지금 엑셀 계산에 쓰는 값)</t>
  </si>
  <si>
    <t>출처: Floor_Solar_Result.json (혜연, 팀 v9). Radiance, 서울(성남) TMY 월평균, 주변 건물 325개 그림자를 층 높이마다 적용 (해가 반 이상 막히면 날 열림), 면 중앙 1㎡, 날 폭 300 / 간격 350 / 반사율 0.5. 냉방기 6~9월 · 난방기 11~3월. 단위 kWh/㎡ (계절 합계). 1~28층 평균 = 사이 층은 직선 보간, 1~2층은 3층 값, 26~28층은 25층 값 (오른쪽 층 가중치 ÷ 28).</t>
  </si>
  <si>
    <t>층</t>
  </si>
  <si>
    <t>난방 반응형 (겨울 모드 켬)</t>
  </si>
  <si>
    <t>냉방기 닫힌 시간 h</t>
  </si>
  <si>
    <t>층 가중치 (28층 중)</t>
  </si>
  <si>
    <t>창 ㎡ (루버 설치면)</t>
  </si>
  <si>
    <t>E (1~28층 평균)</t>
  </si>
  <si>
    <t>S (1~28층 평균)</t>
  </si>
  <si>
    <t>W (1~28층 평균)</t>
  </si>
  <si>
    <t>동·남·서 창 면적 가중 (1784 1~28층 평균)</t>
  </si>
  <si>
    <t>통유리 대비 (1~28층 평균)</t>
  </si>
  <si>
    <t>기준: 1784 1~28층 평균 (9층만 쓰면 동면 냉방 절감이 약 33% 작게 나옴 — 저층은 주변 건물 그늘로 효과가 작고 고층은 큼). 겨울 모드 = 난방일(성남 1/1~4/17 · 10/30~12/31)에 날을 해와 나란히, 해 고도 20° 미만이면서 방위차 60° 이내 · 방위차 75° 초과 · 북쪽 입면은 0° (팀 v9). 내부 반응형은 Radiance 계산이 없어 외부 반응형과 같은 시간에 닫히고 막은 햇빛의 55%가 실내에 남는다고 둔다.</t>
  </si>
  <si>
    <t>출처: solar_result_winter_on/off.json (Radiance, 서울(성남) TMY 월평균 시간별, 주변 건물 325개, 9층 면 중앙 1㎡, 날 폭 300 / 간격 350). 날짜별 컷오프 보간 + 그늘이면 열림. 단위 kWh/㎡ (계절 합계).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</si>
</sst>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##"/>
    <numFmt numFmtId="166" formatCode="#,##0.0"/>
    <numFmt numFmtId="167" formatCode="0.000"/>
  </numFmts>
  <fonts count="8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color rgb="FFC00000"/>
    </font>
    <font>
      <b/>
      <color rgb="FFFFFFFF"/>
    </font>
    <font>
      <b/>
      <sz val="13"/>
    </font>
    <font>
      <b/>
      <color rgb="FF1F3A5F"/>
      <sz val="13"/>
    </font>
    <font>
      <color rgb="FF666666"/>
      <sz val="9"/>
    </font>
  </fonts>
  <fills count="8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5" fontId="0" fillId="5" borderId="1" xfId="0" applyNumberFormat="1" applyFill="1" applyBorder="1" applyAlignment="1">
      <alignment vertical="center" wrapText="1"/>
    </xf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3" fontId="1" fillId="6" borderId="1" xfId="0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6" fontId="1" fillId="6" borderId="1" xfId="0" applyNumberFormat="1" applyFon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9" fontId="0" fillId="7" borderId="0" xfId="0" applyNumberFormat="1" applyFill="1"/>
    <xf numFmtId="0" fontId="7" fillId="0" borderId="0" xfId="0" applyFont="1"/>
    <xf numFmtId="9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3" fontId="0" fillId="0" borderId="0" xfId="0" applyNumberFormat="1"/>
    <xf numFmtId="167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style="1" customWidth="1"/>
    <col min="2" max="2" width="90" customWidth="1"/>
  </cols>
  <sheetData>
    <row r="1" ht="36" customHeight="1" spans="1:2" s="2" customFormat="1" x14ac:dyDescent="0.25">
      <c r="A1" s="3" t="s">
        <v>0</v>
      </c>
      <c r="B1" s="4" t="s">
        <v>1</v>
      </c>
    </row>
    <row r="2" ht="19.5" customHeight="1" spans="1:2" x14ac:dyDescent="0.25">
      <c r="A2" s="3" t="s">
        <v>2</v>
      </c>
      <c r="B2" s="5" t="s">
        <v>3</v>
      </c>
    </row>
    <row r="3" ht="36" customHeight="1" spans="1:2" x14ac:dyDescent="0.25">
      <c r="A3" s="3" t="s">
        <v>4</v>
      </c>
      <c r="B3" s="5" t="s">
        <v>5</v>
      </c>
    </row>
    <row r="4" ht="19.5" customHeight="1" spans="1:2" x14ac:dyDescent="0.25">
      <c r="A4" s="3" t="s">
        <v>6</v>
      </c>
      <c r="B4" s="5" t="s">
        <v>7</v>
      </c>
    </row>
    <row r="5" ht="52.5" customHeight="1" spans="1:2" x14ac:dyDescent="0.25">
      <c r="A5" s="3" t="s">
        <v>8</v>
      </c>
      <c r="B5" s="5" t="s">
        <v>9</v>
      </c>
    </row>
    <row r="6" ht="36" customHeight="1" spans="1:2" x14ac:dyDescent="0.25">
      <c r="A6" s="3" t="s">
        <v>10</v>
      </c>
      <c r="B6" s="5" t="s">
        <v>11</v>
      </c>
    </row>
    <row r="7" ht="52.5" customHeight="1" spans="1:2" x14ac:dyDescent="0.25">
      <c r="A7" s="6" t="s">
        <v>12</v>
      </c>
      <c r="B7" s="7" t="s">
        <v>13</v>
      </c>
    </row>
    <row r="8" ht="52.5" customHeight="1" spans="1:2" x14ac:dyDescent="0.25">
      <c r="A8" s="6" t="s">
        <v>14</v>
      </c>
      <c r="B8" s="7" t="s">
        <v>15</v>
      </c>
    </row>
    <row r="9" ht="52.5" customHeight="1" spans="1:2" x14ac:dyDescent="0.25">
      <c r="A9" s="6" t="s">
        <v>16</v>
      </c>
      <c r="B9" s="7" t="s">
        <v>17</v>
      </c>
    </row>
    <row r="10" ht="36" customHeight="1" spans="1:2" x14ac:dyDescent="0.25">
      <c r="A10" s="6" t="s">
        <v>18</v>
      </c>
      <c r="B10" s="7" t="s">
        <v>19</v>
      </c>
    </row>
    <row r="11" ht="52.5" customHeight="1" spans="1:2" x14ac:dyDescent="0.25">
      <c r="A11" s="6" t="s">
        <v>20</v>
      </c>
      <c r="B11" s="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30" customWidth="1"/>
    <col min="4" max="5" width="16" customWidth="1"/>
    <col min="6" max="6" width="40" customWidth="1"/>
    <col min="7" max="7" width="10" customWidth="1"/>
    <col min="8" max="8" width="16" customWidth="1"/>
  </cols>
  <sheetData>
    <row r="1" ht="19.5" customHeight="1" spans="1:8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</row>
    <row r="2" ht="36" customHeight="1" spans="1:8" x14ac:dyDescent="0.25">
      <c r="A2" s="5">
        <v>1</v>
      </c>
      <c r="B2" s="5" t="s">
        <v>30</v>
      </c>
      <c r="C2" s="5" t="s">
        <v>31</v>
      </c>
      <c r="D2" s="10">
        <v>37.35936</v>
      </c>
      <c r="E2" s="5" t="s">
        <v>32</v>
      </c>
      <c r="F2" s="5" t="s">
        <v>33</v>
      </c>
      <c r="G2" s="5" t="s">
        <v>34</v>
      </c>
      <c r="H2" s="5" t="s">
        <v>35</v>
      </c>
    </row>
    <row r="3" ht="36" customHeight="1" spans="1:8" x14ac:dyDescent="0.25">
      <c r="A3" s="5">
        <v>2</v>
      </c>
      <c r="B3" s="5" t="s">
        <v>30</v>
      </c>
      <c r="C3" s="5" t="s">
        <v>36</v>
      </c>
      <c r="D3" s="10">
        <v>127.10502</v>
      </c>
      <c r="E3" s="5" t="s">
        <v>37</v>
      </c>
      <c r="F3" s="5" t="s">
        <v>38</v>
      </c>
      <c r="G3" s="5" t="s">
        <v>34</v>
      </c>
      <c r="H3" s="5" t="s">
        <v>35</v>
      </c>
    </row>
    <row r="4" ht="69" customHeight="1" spans="1:8" x14ac:dyDescent="0.25">
      <c r="A4" s="5">
        <v>3</v>
      </c>
      <c r="B4" s="5" t="s">
        <v>30</v>
      </c>
      <c r="C4" s="5" t="s">
        <v>39</v>
      </c>
      <c r="D4" s="10" t="s">
        <v>40</v>
      </c>
      <c r="E4" s="5" t="s">
        <v>1</v>
      </c>
      <c r="F4" s="5" t="s">
        <v>41</v>
      </c>
      <c r="G4" s="5" t="s">
        <v>42</v>
      </c>
      <c r="H4" s="5" t="s">
        <v>43</v>
      </c>
    </row>
    <row r="5" ht="36" customHeight="1" spans="1:8" x14ac:dyDescent="0.25">
      <c r="A5" s="5">
        <v>4</v>
      </c>
      <c r="B5" s="5" t="s">
        <v>44</v>
      </c>
      <c r="C5" s="5" t="s">
        <v>45</v>
      </c>
      <c r="D5" s="10" t="s">
        <v>1</v>
      </c>
      <c r="E5" s="5" t="s">
        <v>46</v>
      </c>
      <c r="F5" s="5" t="s">
        <v>47</v>
      </c>
      <c r="G5" s="5" t="s">
        <v>42</v>
      </c>
      <c r="H5" s="5" t="s">
        <v>48</v>
      </c>
    </row>
    <row r="6" ht="52.5" customHeight="1" spans="1:8" x14ac:dyDescent="0.25">
      <c r="A6" s="5">
        <v>5</v>
      </c>
      <c r="B6" s="5" t="s">
        <v>44</v>
      </c>
      <c r="C6" s="5" t="s">
        <v>49</v>
      </c>
      <c r="D6" s="10">
        <f>SUMPRODUCT(D53:D56,D57:D60)</f>
      </c>
      <c r="E6" s="5" t="s">
        <v>50</v>
      </c>
      <c r="F6" s="5" t="s">
        <v>51</v>
      </c>
      <c r="G6" s="5" t="s">
        <v>52</v>
      </c>
      <c r="H6" s="5" t="s">
        <v>53</v>
      </c>
    </row>
    <row r="7" ht="19.5" customHeight="1" spans="1:8" x14ac:dyDescent="0.25">
      <c r="A7" s="5">
        <v>6</v>
      </c>
      <c r="B7" s="5" t="s">
        <v>44</v>
      </c>
      <c r="C7" s="5" t="s">
        <v>54</v>
      </c>
      <c r="D7" s="10" t="s">
        <v>1</v>
      </c>
      <c r="E7" s="5" t="s">
        <v>50</v>
      </c>
      <c r="F7" s="5" t="s">
        <v>55</v>
      </c>
      <c r="G7" s="5" t="s">
        <v>56</v>
      </c>
      <c r="H7" s="5" t="s">
        <v>57</v>
      </c>
    </row>
    <row r="8" ht="36" customHeight="1" spans="1:8" x14ac:dyDescent="0.25">
      <c r="A8" s="5">
        <v>7</v>
      </c>
      <c r="B8" s="5" t="s">
        <v>58</v>
      </c>
      <c r="C8" s="5" t="s">
        <v>59</v>
      </c>
      <c r="D8" s="10">
        <f>D6*D61</f>
      </c>
      <c r="E8" s="5" t="s">
        <v>50</v>
      </c>
      <c r="F8" s="5" t="s">
        <v>60</v>
      </c>
      <c r="G8" s="5" t="s">
        <v>52</v>
      </c>
      <c r="H8" s="5" t="s">
        <v>61</v>
      </c>
    </row>
    <row r="9" ht="36" customHeight="1" spans="1:8" x14ac:dyDescent="0.25">
      <c r="A9" s="5">
        <v>8</v>
      </c>
      <c r="B9" s="5" t="s">
        <v>58</v>
      </c>
      <c r="C9" s="5" t="s">
        <v>62</v>
      </c>
      <c r="D9" s="10">
        <f>D6*D61</f>
      </c>
      <c r="E9" s="5" t="s">
        <v>50</v>
      </c>
      <c r="F9" s="5" t="s">
        <v>60</v>
      </c>
      <c r="G9" s="5" t="s">
        <v>52</v>
      </c>
      <c r="H9" s="5" t="s">
        <v>61</v>
      </c>
    </row>
    <row r="10" ht="36" customHeight="1" spans="1:8" x14ac:dyDescent="0.25">
      <c r="A10" s="5">
        <v>9</v>
      </c>
      <c r="B10" s="5" t="s">
        <v>58</v>
      </c>
      <c r="C10" s="5" t="s">
        <v>63</v>
      </c>
      <c r="D10" s="10">
        <f>ROUND(D9/D62,0)</f>
      </c>
      <c r="E10" s="5" t="s">
        <v>64</v>
      </c>
      <c r="F10" s="5" t="s">
        <v>65</v>
      </c>
      <c r="G10" s="5" t="s">
        <v>52</v>
      </c>
      <c r="H10" s="5" t="s">
        <v>66</v>
      </c>
    </row>
    <row r="11" ht="36" customHeight="1" spans="1:8" x14ac:dyDescent="0.25">
      <c r="A11" s="5">
        <v>10</v>
      </c>
      <c r="B11" s="5" t="s">
        <v>58</v>
      </c>
      <c r="C11" s="5" t="s">
        <v>67</v>
      </c>
      <c r="D11" s="10">
        <f>D6*D61</f>
      </c>
      <c r="E11" s="5" t="s">
        <v>50</v>
      </c>
      <c r="F11" s="5" t="s">
        <v>68</v>
      </c>
      <c r="G11" s="5" t="s">
        <v>52</v>
      </c>
      <c r="H11" s="5" t="s">
        <v>61</v>
      </c>
    </row>
    <row r="12" ht="52.5" customHeight="1" spans="1:8" x14ac:dyDescent="0.25">
      <c r="A12" s="5">
        <v>11</v>
      </c>
      <c r="B12" s="5" t="s">
        <v>69</v>
      </c>
      <c r="C12" s="5" t="s">
        <v>70</v>
      </c>
      <c r="D12" s="10">
        <v>60</v>
      </c>
      <c r="E12" s="5" t="s">
        <v>71</v>
      </c>
      <c r="F12" s="5" t="s">
        <v>72</v>
      </c>
      <c r="G12" s="5" t="s">
        <v>73</v>
      </c>
      <c r="H12" s="5" t="s">
        <v>74</v>
      </c>
    </row>
    <row r="13" ht="36" customHeight="1" spans="1:8" x14ac:dyDescent="0.25">
      <c r="A13" s="5">
        <v>12</v>
      </c>
      <c r="B13" s="5" t="s">
        <v>69</v>
      </c>
      <c r="C13" s="5" t="s">
        <v>75</v>
      </c>
      <c r="D13" s="10">
        <f>'2_단가조사'!F9</f>
      </c>
      <c r="E13" s="5" t="s">
        <v>76</v>
      </c>
      <c r="F13" s="5" t="s">
        <v>77</v>
      </c>
      <c r="G13" s="5" t="s">
        <v>73</v>
      </c>
      <c r="H13" s="5" t="s">
        <v>78</v>
      </c>
    </row>
    <row r="14" ht="36" customHeight="1" spans="1:8" x14ac:dyDescent="0.25">
      <c r="A14" s="5">
        <v>13</v>
      </c>
      <c r="B14" s="5" t="s">
        <v>69</v>
      </c>
      <c r="C14" s="5" t="s">
        <v>79</v>
      </c>
      <c r="D14" s="10">
        <f>'2_단가조사'!F10</f>
      </c>
      <c r="E14" s="5" t="s">
        <v>76</v>
      </c>
      <c r="F14" s="5" t="s">
        <v>77</v>
      </c>
      <c r="G14" s="5" t="s">
        <v>73</v>
      </c>
      <c r="H14" s="5" t="s">
        <v>78</v>
      </c>
    </row>
    <row r="15" ht="36" customHeight="1" spans="1:8" x14ac:dyDescent="0.25">
      <c r="A15" s="5">
        <v>14</v>
      </c>
      <c r="B15" s="5" t="s">
        <v>80</v>
      </c>
      <c r="C15" s="5" t="s">
        <v>81</v>
      </c>
      <c r="D15" s="10">
        <f>'2_단가조사'!F15</f>
      </c>
      <c r="E15" s="5" t="s">
        <v>82</v>
      </c>
      <c r="F15" s="5" t="s">
        <v>83</v>
      </c>
      <c r="G15" s="5" t="s">
        <v>73</v>
      </c>
      <c r="H15" s="5" t="s">
        <v>78</v>
      </c>
    </row>
    <row r="16" ht="36" customHeight="1" spans="1:8" x14ac:dyDescent="0.25">
      <c r="A16" s="5">
        <v>15</v>
      </c>
      <c r="B16" s="5" t="s">
        <v>80</v>
      </c>
      <c r="C16" s="5" t="s">
        <v>84</v>
      </c>
      <c r="D16" s="10">
        <f>'2_단가조사'!F16</f>
      </c>
      <c r="E16" s="5" t="s">
        <v>85</v>
      </c>
      <c r="F16" s="5" t="s">
        <v>86</v>
      </c>
      <c r="G16" s="5" t="s">
        <v>73</v>
      </c>
      <c r="H16" s="5" t="s">
        <v>78</v>
      </c>
    </row>
    <row r="17" ht="36" customHeight="1" spans="1:8" x14ac:dyDescent="0.25">
      <c r="A17" s="5">
        <v>16</v>
      </c>
      <c r="B17" s="5" t="s">
        <v>80</v>
      </c>
      <c r="C17" s="5" t="s">
        <v>87</v>
      </c>
      <c r="D17" s="10">
        <f>'2_단가조사'!F13</f>
      </c>
      <c r="E17" s="5" t="s">
        <v>88</v>
      </c>
      <c r="F17" s="5" t="s">
        <v>89</v>
      </c>
      <c r="G17" s="5" t="s">
        <v>73</v>
      </c>
      <c r="H17" s="5" t="s">
        <v>78</v>
      </c>
    </row>
    <row r="18" ht="52.5" customHeight="1" spans="1:8" x14ac:dyDescent="0.25">
      <c r="A18" s="5">
        <v>17</v>
      </c>
      <c r="B18" s="5" t="s">
        <v>80</v>
      </c>
      <c r="C18" s="5" t="s">
        <v>90</v>
      </c>
      <c r="D18" s="10">
        <f>'2_단가조사'!F11</f>
      </c>
      <c r="E18" s="5" t="s">
        <v>91</v>
      </c>
      <c r="F18" s="5" t="s">
        <v>92</v>
      </c>
      <c r="G18" s="5" t="s">
        <v>73</v>
      </c>
      <c r="H18" s="5" t="s">
        <v>93</v>
      </c>
    </row>
    <row r="19" ht="19.5" customHeight="1" spans="1:8" x14ac:dyDescent="0.25">
      <c r="A19" s="5">
        <v>18</v>
      </c>
      <c r="B19" s="5" t="s">
        <v>80</v>
      </c>
      <c r="C19" s="5" t="s">
        <v>94</v>
      </c>
      <c r="D19" s="10" t="s">
        <v>1</v>
      </c>
      <c r="E19" s="5" t="s">
        <v>95</v>
      </c>
      <c r="F19" s="5" t="s">
        <v>96</v>
      </c>
      <c r="G19" s="5" t="s">
        <v>73</v>
      </c>
      <c r="H19" s="5" t="s">
        <v>97</v>
      </c>
    </row>
    <row r="20" ht="19.5" customHeight="1" spans="1:8" x14ac:dyDescent="0.25">
      <c r="A20" s="5">
        <v>19</v>
      </c>
      <c r="B20" s="5" t="s">
        <v>98</v>
      </c>
      <c r="C20" s="5" t="s">
        <v>99</v>
      </c>
      <c r="D20" s="10">
        <v>3.5</v>
      </c>
      <c r="E20" s="5" t="s">
        <v>100</v>
      </c>
      <c r="F20" s="5" t="s">
        <v>101</v>
      </c>
      <c r="G20" s="5" t="s">
        <v>102</v>
      </c>
      <c r="H20" s="5" t="s">
        <v>103</v>
      </c>
    </row>
    <row r="21" ht="52.5" customHeight="1" spans="1:8" x14ac:dyDescent="0.25">
      <c r="A21" s="5">
        <v>20</v>
      </c>
      <c r="B21" s="5" t="s">
        <v>98</v>
      </c>
      <c r="C21" s="5" t="s">
        <v>104</v>
      </c>
      <c r="D21" s="10">
        <v>1.13</v>
      </c>
      <c r="E21" s="5" t="s">
        <v>100</v>
      </c>
      <c r="F21" s="5" t="s">
        <v>105</v>
      </c>
      <c r="G21" s="5" t="s">
        <v>102</v>
      </c>
      <c r="H21" s="5" t="s">
        <v>103</v>
      </c>
    </row>
    <row r="22" ht="52.5" customHeight="1" spans="1:8" x14ac:dyDescent="0.25">
      <c r="A22" s="5">
        <v>21</v>
      </c>
      <c r="B22" s="5" t="s">
        <v>98</v>
      </c>
      <c r="C22" s="5" t="s">
        <v>106</v>
      </c>
      <c r="D22" s="10" t="s">
        <v>107</v>
      </c>
      <c r="E22" s="5" t="s">
        <v>108</v>
      </c>
      <c r="F22" s="5" t="s">
        <v>109</v>
      </c>
      <c r="G22" s="5" t="s">
        <v>34</v>
      </c>
      <c r="H22" s="5" t="s">
        <v>110</v>
      </c>
    </row>
    <row r="23" ht="19.5" customHeight="1" spans="1:8" x14ac:dyDescent="0.25">
      <c r="A23" s="5">
        <v>22</v>
      </c>
      <c r="B23" s="5" t="s">
        <v>111</v>
      </c>
      <c r="C23" s="5" t="s">
        <v>112</v>
      </c>
      <c r="D23" s="10" t="s">
        <v>113</v>
      </c>
      <c r="E23" s="5" t="s">
        <v>114</v>
      </c>
      <c r="F23" s="5" t="s">
        <v>115</v>
      </c>
      <c r="G23" s="5" t="s">
        <v>56</v>
      </c>
      <c r="H23" s="5" t="s">
        <v>110</v>
      </c>
    </row>
    <row r="24" ht="19.5" customHeight="1" spans="1:8" x14ac:dyDescent="0.25">
      <c r="A24" s="5">
        <v>23</v>
      </c>
      <c r="B24" s="5" t="s">
        <v>116</v>
      </c>
      <c r="C24" s="5" t="s">
        <v>117</v>
      </c>
      <c r="D24" s="10" t="s">
        <v>1</v>
      </c>
      <c r="E24" s="5" t="s">
        <v>118</v>
      </c>
      <c r="F24" s="5" t="s">
        <v>119</v>
      </c>
      <c r="G24" s="5" t="s">
        <v>42</v>
      </c>
      <c r="H24" s="5" t="s">
        <v>120</v>
      </c>
    </row>
    <row r="25" ht="36" customHeight="1" spans="1:8" x14ac:dyDescent="0.25">
      <c r="A25" s="5">
        <v>24</v>
      </c>
      <c r="B25" s="5" t="s">
        <v>121</v>
      </c>
      <c r="C25" s="5" t="s">
        <v>122</v>
      </c>
      <c r="D25" s="10" t="s">
        <v>123</v>
      </c>
      <c r="E25" s="5" t="s">
        <v>124</v>
      </c>
      <c r="F25" s="5" t="s">
        <v>125</v>
      </c>
      <c r="G25" s="5" t="s">
        <v>34</v>
      </c>
      <c r="H25" s="5" t="s">
        <v>126</v>
      </c>
    </row>
    <row r="26" ht="19.5" customHeight="1" spans="1:8" x14ac:dyDescent="0.25">
      <c r="A26" s="5">
        <v>25</v>
      </c>
      <c r="B26" s="5" t="s">
        <v>121</v>
      </c>
      <c r="C26" s="5" t="s">
        <v>127</v>
      </c>
      <c r="D26" s="10" t="s">
        <v>128</v>
      </c>
      <c r="E26" s="5" t="s">
        <v>124</v>
      </c>
      <c r="F26" s="5" t="s">
        <v>129</v>
      </c>
      <c r="G26" s="5" t="s">
        <v>34</v>
      </c>
      <c r="H26" s="5" t="s">
        <v>130</v>
      </c>
    </row>
    <row r="27" ht="19.5" customHeight="1" spans="1:8" x14ac:dyDescent="0.25">
      <c r="A27" s="5">
        <v>26</v>
      </c>
      <c r="B27" s="5" t="s">
        <v>121</v>
      </c>
      <c r="C27" s="5" t="s">
        <v>131</v>
      </c>
      <c r="D27" s="10" t="s">
        <v>132</v>
      </c>
      <c r="E27" s="5" t="s">
        <v>95</v>
      </c>
      <c r="F27" s="5" t="s">
        <v>133</v>
      </c>
      <c r="G27" s="5" t="s">
        <v>34</v>
      </c>
      <c r="H27" s="5" t="s">
        <v>134</v>
      </c>
    </row>
    <row r="28" ht="19.5" customHeight="1" spans="1:8" x14ac:dyDescent="0.25">
      <c r="A28" s="5">
        <v>27</v>
      </c>
      <c r="B28" s="5" t="s">
        <v>121</v>
      </c>
      <c r="C28" s="5" t="s">
        <v>135</v>
      </c>
      <c r="D28" s="10" t="s">
        <v>136</v>
      </c>
      <c r="E28" s="5" t="s">
        <v>1</v>
      </c>
      <c r="F28" s="5" t="s">
        <v>137</v>
      </c>
      <c r="G28" s="5" t="s">
        <v>34</v>
      </c>
      <c r="H28" s="5" t="s">
        <v>138</v>
      </c>
    </row>
    <row r="30" ht="19.5" customHeight="1" spans="3:3" x14ac:dyDescent="0.25">
      <c r="C30" s="3" t="s">
        <v>139</v>
      </c>
    </row>
    <row r="31" ht="19.5" customHeight="1" spans="3:8" x14ac:dyDescent="0.25">
      <c r="C31" s="11" t="s">
        <v>140</v>
      </c>
      <c r="D31" s="12">
        <v>1</v>
      </c>
      <c r="E31" s="11" t="s">
        <v>141</v>
      </c>
      <c r="F31" s="11" t="s">
        <v>142</v>
      </c>
      <c r="H31" s="11" t="s">
        <v>143</v>
      </c>
    </row>
    <row r="32" ht="19.5" customHeight="1" spans="3:8" x14ac:dyDescent="0.25">
      <c r="C32" s="11" t="s">
        <v>144</v>
      </c>
      <c r="D32" s="12">
        <v>1</v>
      </c>
      <c r="E32" s="11" t="s">
        <v>141</v>
      </c>
      <c r="F32" s="11" t="s">
        <v>145</v>
      </c>
      <c r="H32" s="11" t="s">
        <v>143</v>
      </c>
    </row>
    <row r="33" ht="19.5" customHeight="1" spans="3:8" x14ac:dyDescent="0.25">
      <c r="C33" s="11" t="s">
        <v>146</v>
      </c>
      <c r="D33" s="12">
        <v>1</v>
      </c>
      <c r="E33" s="11" t="s">
        <v>141</v>
      </c>
      <c r="F33" s="11" t="s">
        <v>147</v>
      </c>
      <c r="H33" s="11" t="s">
        <v>143</v>
      </c>
    </row>
    <row r="34" ht="36" customHeight="1" spans="3:8" x14ac:dyDescent="0.25">
      <c r="C34" s="11" t="s">
        <v>148</v>
      </c>
      <c r="D34" s="13">
        <f>'2_단가조사'!F12</f>
      </c>
      <c r="E34" s="11" t="s">
        <v>91</v>
      </c>
      <c r="F34" s="11" t="s">
        <v>149</v>
      </c>
      <c r="H34" s="11" t="s">
        <v>78</v>
      </c>
    </row>
    <row r="35" ht="36" customHeight="1" spans="3:8" x14ac:dyDescent="0.25">
      <c r="C35" s="11" t="s">
        <v>150</v>
      </c>
      <c r="D35" s="13">
        <f>'2_단가조사'!F14</f>
      </c>
      <c r="E35" s="11" t="s">
        <v>88</v>
      </c>
      <c r="F35" s="11" t="s">
        <v>151</v>
      </c>
      <c r="H35" s="11" t="s">
        <v>78</v>
      </c>
    </row>
    <row r="36" ht="52.5" customHeight="1" spans="3:8" x14ac:dyDescent="0.25">
      <c r="C36" s="11" t="s">
        <v>152</v>
      </c>
      <c r="D36" s="10">
        <f>'14_Radiance(팀)'!C92</f>
      </c>
      <c r="E36" s="11" t="s">
        <v>153</v>
      </c>
      <c r="F36" s="11" t="s">
        <v>154</v>
      </c>
      <c r="H36" s="11" t="s">
        <v>74</v>
      </c>
    </row>
    <row r="37" ht="52.5" customHeight="1" spans="3:8" x14ac:dyDescent="0.25">
      <c r="C37" s="11" t="s">
        <v>155</v>
      </c>
      <c r="D37" s="10">
        <f>'14_Radiance(팀)'!C92-(1-0.55)*('14_Radiance(팀)'!C92-'14_Radiance(팀)'!E92)</f>
      </c>
      <c r="E37" s="11" t="s">
        <v>156</v>
      </c>
      <c r="F37" s="11" t="s">
        <v>157</v>
      </c>
      <c r="H37" s="11" t="s">
        <v>74</v>
      </c>
    </row>
    <row r="38" ht="52.5" customHeight="1" spans="3:8" x14ac:dyDescent="0.25">
      <c r="C38" s="11" t="s">
        <v>158</v>
      </c>
      <c r="D38" s="10">
        <f>'14_Radiance(팀)'!D92</f>
      </c>
      <c r="E38" s="11" t="s">
        <v>153</v>
      </c>
      <c r="F38" s="11" t="s">
        <v>157</v>
      </c>
      <c r="H38" s="11" t="s">
        <v>74</v>
      </c>
    </row>
    <row r="39" ht="52.5" customHeight="1" spans="3:8" x14ac:dyDescent="0.25">
      <c r="C39" s="11" t="s">
        <v>159</v>
      </c>
      <c r="D39" s="10">
        <f>'14_Radiance(팀)'!E92</f>
      </c>
      <c r="E39" s="11" t="s">
        <v>153</v>
      </c>
      <c r="F39" s="11" t="s">
        <v>157</v>
      </c>
      <c r="H39" s="11" t="s">
        <v>74</v>
      </c>
    </row>
    <row r="40" ht="52.5" customHeight="1" spans="3:8" x14ac:dyDescent="0.25">
      <c r="C40" s="11" t="s">
        <v>160</v>
      </c>
      <c r="D40" s="10">
        <v>38000</v>
      </c>
      <c r="E40" s="11" t="s">
        <v>114</v>
      </c>
      <c r="F40" s="11" t="s">
        <v>115</v>
      </c>
      <c r="H40" s="11" t="s">
        <v>74</v>
      </c>
    </row>
    <row r="41" ht="52.5" customHeight="1" spans="3:8" x14ac:dyDescent="0.25">
      <c r="C41" s="11" t="s">
        <v>161</v>
      </c>
      <c r="D41" s="10">
        <v>42000</v>
      </c>
      <c r="E41" s="11" t="s">
        <v>114</v>
      </c>
      <c r="F41" s="11" t="s">
        <v>115</v>
      </c>
      <c r="H41" s="11" t="s">
        <v>74</v>
      </c>
    </row>
    <row r="42" ht="52.5" customHeight="1" spans="3:8" x14ac:dyDescent="0.25">
      <c r="C42" s="11" t="s">
        <v>162</v>
      </c>
      <c r="D42" s="10">
        <v>52000</v>
      </c>
      <c r="E42" s="11" t="s">
        <v>114</v>
      </c>
      <c r="F42" s="11" t="s">
        <v>115</v>
      </c>
      <c r="H42" s="11" t="s">
        <v>74</v>
      </c>
    </row>
    <row r="43" ht="52.5" customHeight="1" spans="3:8" x14ac:dyDescent="0.25">
      <c r="C43" s="11" t="s">
        <v>163</v>
      </c>
      <c r="D43" s="10">
        <v>43000</v>
      </c>
      <c r="E43" s="11" t="s">
        <v>114</v>
      </c>
      <c r="F43" s="11" t="s">
        <v>115</v>
      </c>
      <c r="H43" s="11" t="s">
        <v>74</v>
      </c>
    </row>
    <row r="44" ht="36" customHeight="1" spans="3:8" x14ac:dyDescent="0.25">
      <c r="C44" s="11" t="s">
        <v>164</v>
      </c>
      <c r="D44" s="12">
        <v>0</v>
      </c>
      <c r="E44" s="11" t="s">
        <v>165</v>
      </c>
      <c r="F44" s="11" t="s">
        <v>166</v>
      </c>
      <c r="H44" s="11" t="s">
        <v>143</v>
      </c>
    </row>
    <row r="45" ht="52.5" customHeight="1" spans="3:8" x14ac:dyDescent="0.25">
      <c r="C45" s="11" t="s">
        <v>167</v>
      </c>
      <c r="D45" s="10">
        <v>150</v>
      </c>
      <c r="E45" s="11" t="s">
        <v>64</v>
      </c>
      <c r="F45" s="11" t="s">
        <v>60</v>
      </c>
      <c r="H45" s="11" t="s">
        <v>74</v>
      </c>
    </row>
    <row r="46" ht="52.5" customHeight="1" spans="3:8" x14ac:dyDescent="0.25">
      <c r="C46" s="11" t="s">
        <v>168</v>
      </c>
      <c r="D46" s="10">
        <v>5</v>
      </c>
      <c r="E46" s="11" t="s">
        <v>71</v>
      </c>
      <c r="F46" s="11" t="s">
        <v>169</v>
      </c>
      <c r="H46" s="11" t="s">
        <v>74</v>
      </c>
    </row>
    <row r="47" ht="36" customHeight="1" spans="3:8" x14ac:dyDescent="0.25">
      <c r="C47" s="11" t="s">
        <v>170</v>
      </c>
      <c r="D47" s="12">
        <v>1</v>
      </c>
      <c r="E47" s="11" t="s">
        <v>171</v>
      </c>
      <c r="F47" s="11" t="s">
        <v>172</v>
      </c>
      <c r="H47" s="11" t="s">
        <v>143</v>
      </c>
    </row>
    <row r="48" ht="36" customHeight="1" spans="3:8" x14ac:dyDescent="0.25">
      <c r="C48" s="11" t="s">
        <v>173</v>
      </c>
      <c r="D48" s="12">
        <v>0</v>
      </c>
      <c r="E48" s="11" t="s">
        <v>171</v>
      </c>
      <c r="F48" s="11" t="s">
        <v>174</v>
      </c>
      <c r="H48" s="11" t="s">
        <v>143</v>
      </c>
    </row>
    <row r="50" ht="102" customHeight="1" spans="3:3" x14ac:dyDescent="0.25">
      <c r="C50" s="14" t="s">
        <v>175</v>
      </c>
    </row>
    <row r="52" ht="36" customHeight="1" spans="3:3" x14ac:dyDescent="0.25">
      <c r="C52" s="3" t="s">
        <v>176</v>
      </c>
    </row>
    <row r="53" ht="52.5" customHeight="1" spans="3:8" x14ac:dyDescent="0.25">
      <c r="C53" s="11" t="s">
        <v>177</v>
      </c>
      <c r="D53" s="10">
        <v>300</v>
      </c>
      <c r="E53" s="11" t="s">
        <v>50</v>
      </c>
      <c r="F53" s="11" t="s">
        <v>178</v>
      </c>
      <c r="H53" s="11" t="s">
        <v>74</v>
      </c>
    </row>
    <row r="54" ht="52.5" customHeight="1" spans="3:8" x14ac:dyDescent="0.25">
      <c r="C54" s="11" t="s">
        <v>179</v>
      </c>
      <c r="D54" s="10">
        <v>400</v>
      </c>
      <c r="E54" s="11" t="s">
        <v>50</v>
      </c>
      <c r="F54" s="11" t="s">
        <v>178</v>
      </c>
      <c r="H54" s="11" t="s">
        <v>74</v>
      </c>
    </row>
    <row r="55" ht="52.5" customHeight="1" spans="3:8" x14ac:dyDescent="0.25">
      <c r="C55" s="11" t="s">
        <v>180</v>
      </c>
      <c r="D55" s="10">
        <v>300</v>
      </c>
      <c r="E55" s="11" t="s">
        <v>50</v>
      </c>
      <c r="F55" s="11" t="s">
        <v>178</v>
      </c>
      <c r="H55" s="11" t="s">
        <v>74</v>
      </c>
    </row>
    <row r="56" ht="52.5" customHeight="1" spans="3:8" x14ac:dyDescent="0.25">
      <c r="C56" s="11" t="s">
        <v>181</v>
      </c>
      <c r="D56" s="10">
        <v>300</v>
      </c>
      <c r="E56" s="11" t="s">
        <v>50</v>
      </c>
      <c r="F56" s="11" t="s">
        <v>182</v>
      </c>
      <c r="H56" s="11" t="s">
        <v>74</v>
      </c>
    </row>
    <row r="57" ht="19.5" customHeight="1" spans="3:8" x14ac:dyDescent="0.25">
      <c r="C57" s="11" t="s">
        <v>183</v>
      </c>
      <c r="D57" s="12">
        <v>1</v>
      </c>
      <c r="E57" s="11" t="s">
        <v>171</v>
      </c>
      <c r="F57" s="11" t="s">
        <v>1</v>
      </c>
      <c r="H57" s="11" t="s">
        <v>143</v>
      </c>
    </row>
    <row r="58" ht="19.5" customHeight="1" spans="3:8" x14ac:dyDescent="0.25">
      <c r="C58" s="11" t="s">
        <v>184</v>
      </c>
      <c r="D58" s="12">
        <v>1</v>
      </c>
      <c r="E58" s="11" t="s">
        <v>171</v>
      </c>
      <c r="F58" s="11" t="s">
        <v>1</v>
      </c>
      <c r="H58" s="11" t="s">
        <v>143</v>
      </c>
    </row>
    <row r="59" ht="19.5" customHeight="1" spans="3:8" x14ac:dyDescent="0.25">
      <c r="C59" s="11" t="s">
        <v>185</v>
      </c>
      <c r="D59" s="12">
        <v>1</v>
      </c>
      <c r="E59" s="11" t="s">
        <v>171</v>
      </c>
      <c r="F59" s="11" t="s">
        <v>1</v>
      </c>
      <c r="H59" s="11" t="s">
        <v>143</v>
      </c>
    </row>
    <row r="60" ht="36" customHeight="1" spans="3:8" x14ac:dyDescent="0.25">
      <c r="C60" s="11" t="s">
        <v>186</v>
      </c>
      <c r="D60" s="12">
        <v>0</v>
      </c>
      <c r="E60" s="11" t="s">
        <v>171</v>
      </c>
      <c r="F60" s="11" t="s">
        <v>187</v>
      </c>
      <c r="H60" s="11" t="s">
        <v>143</v>
      </c>
    </row>
    <row r="61" ht="52.5" customHeight="1" spans="3:8" x14ac:dyDescent="0.25">
      <c r="C61" s="11" t="s">
        <v>188</v>
      </c>
      <c r="D61" s="10">
        <v>0.9</v>
      </c>
      <c r="E61" s="11" t="s">
        <v>141</v>
      </c>
      <c r="F61" s="11" t="s">
        <v>130</v>
      </c>
      <c r="H61" s="11" t="s">
        <v>74</v>
      </c>
    </row>
    <row r="62" ht="52.5" customHeight="1" spans="3:8" x14ac:dyDescent="0.25">
      <c r="C62" s="11" t="s">
        <v>189</v>
      </c>
      <c r="D62" s="10">
        <v>6</v>
      </c>
      <c r="E62" s="11" t="s">
        <v>190</v>
      </c>
      <c r="F62" s="11" t="s">
        <v>130</v>
      </c>
      <c r="H62" s="11" t="s">
        <v>74</v>
      </c>
    </row>
    <row r="63" spans="1:8" x14ac:dyDescent="0.25">
      <c r="A63" t="s">
        <v>1</v>
      </c>
      <c r="B63" t="s">
        <v>1</v>
      </c>
      <c r="C63" s="11" t="s">
        <v>191</v>
      </c>
      <c r="D63" s="10">
        <f>'2_단가조사'!F25</f>
      </c>
      <c r="E63" s="11" t="s">
        <v>88</v>
      </c>
      <c r="F63" s="11" t="s">
        <v>192</v>
      </c>
      <c r="G63" t="s">
        <v>73</v>
      </c>
      <c r="H63" s="11" t="s">
        <v>130</v>
      </c>
    </row>
    <row r="64" spans="1:8" x14ac:dyDescent="0.25">
      <c r="A64" t="s">
        <v>1</v>
      </c>
      <c r="B64" t="s">
        <v>1</v>
      </c>
      <c r="C64" s="11" t="s">
        <v>193</v>
      </c>
      <c r="D64" s="10">
        <f>'2_단가조사'!F26</f>
      </c>
      <c r="E64" s="11" t="s">
        <v>194</v>
      </c>
      <c r="F64" s="11" t="s">
        <v>195</v>
      </c>
      <c r="G64" t="s">
        <v>73</v>
      </c>
      <c r="H64" s="1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0" customWidth="1"/>
    <col min="4" max="4" width="14" customWidth="1"/>
    <col min="5" max="7" width="11" customWidth="1"/>
    <col min="8" max="8" width="38" customWidth="1"/>
    <col min="9" max="9" width="52" customWidth="1"/>
    <col min="10" max="10" width="10" customWidth="1"/>
  </cols>
  <sheetData>
    <row r="1" ht="19.5" customHeight="1" spans="1:10" x14ac:dyDescent="0.25">
      <c r="A1" s="9" t="s">
        <v>22</v>
      </c>
      <c r="B1" s="9" t="s">
        <v>23</v>
      </c>
      <c r="C1" s="9" t="s">
        <v>196</v>
      </c>
      <c r="D1" s="9" t="s">
        <v>26</v>
      </c>
      <c r="E1" s="9" t="s">
        <v>197</v>
      </c>
      <c r="F1" s="9" t="s">
        <v>198</v>
      </c>
      <c r="G1" s="9" t="s">
        <v>199</v>
      </c>
      <c r="H1" s="9" t="s">
        <v>200</v>
      </c>
      <c r="I1" s="9" t="s">
        <v>201</v>
      </c>
      <c r="J1" s="9" t="s">
        <v>29</v>
      </c>
    </row>
    <row r="2" ht="36" customHeight="1" spans="1:10" x14ac:dyDescent="0.25">
      <c r="A2" s="5">
        <v>1</v>
      </c>
      <c r="B2" s="5" t="s">
        <v>202</v>
      </c>
      <c r="C2" s="5" t="s">
        <v>203</v>
      </c>
      <c r="D2" s="5" t="s">
        <v>204</v>
      </c>
      <c r="E2" s="15">
        <v>150000</v>
      </c>
      <c r="F2" s="15">
        <v>250000</v>
      </c>
      <c r="G2" s="15">
        <v>400000</v>
      </c>
      <c r="H2" s="5" t="s">
        <v>205</v>
      </c>
      <c r="I2" s="5" t="s">
        <v>206</v>
      </c>
      <c r="J2" s="5" t="s">
        <v>207</v>
      </c>
    </row>
    <row r="3" ht="36" customHeight="1" spans="1:10" x14ac:dyDescent="0.25">
      <c r="A3" s="5">
        <v>2</v>
      </c>
      <c r="B3" s="5" t="s">
        <v>202</v>
      </c>
      <c r="C3" s="5" t="s">
        <v>208</v>
      </c>
      <c r="D3" s="5" t="s">
        <v>204</v>
      </c>
      <c r="E3" s="15">
        <v>40000</v>
      </c>
      <c r="F3" s="15">
        <v>70000</v>
      </c>
      <c r="G3" s="15">
        <v>120000</v>
      </c>
      <c r="H3" s="5" t="s">
        <v>205</v>
      </c>
      <c r="I3" s="5" t="s">
        <v>209</v>
      </c>
      <c r="J3" s="5" t="s">
        <v>207</v>
      </c>
    </row>
    <row r="4" ht="36" customHeight="1" spans="1:10" x14ac:dyDescent="0.25">
      <c r="A4" s="5">
        <v>3</v>
      </c>
      <c r="B4" s="5" t="s">
        <v>210</v>
      </c>
      <c r="C4" s="5" t="s">
        <v>211</v>
      </c>
      <c r="D4" s="5" t="s">
        <v>212</v>
      </c>
      <c r="E4" s="15">
        <v>300000</v>
      </c>
      <c r="F4" s="15">
        <v>600000</v>
      </c>
      <c r="G4" s="15">
        <v>1200000</v>
      </c>
      <c r="H4" s="5" t="s">
        <v>205</v>
      </c>
      <c r="I4" s="5" t="s">
        <v>213</v>
      </c>
      <c r="J4" s="5" t="s">
        <v>207</v>
      </c>
    </row>
    <row r="5" ht="36" customHeight="1" spans="1:10" x14ac:dyDescent="0.25">
      <c r="A5" s="5">
        <v>4</v>
      </c>
      <c r="B5" s="5" t="s">
        <v>210</v>
      </c>
      <c r="C5" s="5" t="s">
        <v>214</v>
      </c>
      <c r="D5" s="5" t="s">
        <v>215</v>
      </c>
      <c r="E5" s="15">
        <v>10000000</v>
      </c>
      <c r="F5" s="15">
        <v>30000000</v>
      </c>
      <c r="G5" s="15">
        <v>60000000</v>
      </c>
      <c r="H5" s="5" t="s">
        <v>205</v>
      </c>
      <c r="I5" s="5" t="s">
        <v>216</v>
      </c>
      <c r="J5" s="5" t="s">
        <v>207</v>
      </c>
    </row>
    <row r="6" ht="36" customHeight="1" spans="1:10" x14ac:dyDescent="0.25">
      <c r="A6" s="5">
        <v>5</v>
      </c>
      <c r="B6" s="5" t="s">
        <v>217</v>
      </c>
      <c r="C6" s="5" t="s">
        <v>218</v>
      </c>
      <c r="D6" s="5" t="s">
        <v>204</v>
      </c>
      <c r="E6" s="15">
        <v>80000</v>
      </c>
      <c r="F6" s="15">
        <v>130000</v>
      </c>
      <c r="G6" s="15">
        <v>200000</v>
      </c>
      <c r="H6" s="5" t="s">
        <v>205</v>
      </c>
      <c r="I6" s="5" t="s">
        <v>219</v>
      </c>
      <c r="J6" s="5" t="s">
        <v>207</v>
      </c>
    </row>
    <row r="7" ht="36" customHeight="1" spans="1:10" x14ac:dyDescent="0.25">
      <c r="A7" s="5">
        <v>6</v>
      </c>
      <c r="B7" s="5" t="s">
        <v>220</v>
      </c>
      <c r="C7" s="5" t="s">
        <v>221</v>
      </c>
      <c r="D7" s="5" t="s">
        <v>222</v>
      </c>
      <c r="E7" s="15">
        <v>400000</v>
      </c>
      <c r="F7" s="15">
        <v>700000</v>
      </c>
      <c r="G7" s="15">
        <v>1000000</v>
      </c>
      <c r="H7" s="5" t="s">
        <v>205</v>
      </c>
      <c r="I7" s="5" t="s">
        <v>223</v>
      </c>
      <c r="J7" s="5" t="s">
        <v>207</v>
      </c>
    </row>
    <row r="8" ht="36" customHeight="1" spans="1:10" x14ac:dyDescent="0.25">
      <c r="A8" s="5">
        <v>7</v>
      </c>
      <c r="B8" s="5" t="s">
        <v>220</v>
      </c>
      <c r="C8" s="5" t="s">
        <v>224</v>
      </c>
      <c r="D8" s="5" t="s">
        <v>222</v>
      </c>
      <c r="E8" s="15">
        <v>400000</v>
      </c>
      <c r="F8" s="15">
        <v>600000</v>
      </c>
      <c r="G8" s="15">
        <v>900000</v>
      </c>
      <c r="H8" s="5" t="s">
        <v>205</v>
      </c>
      <c r="I8" s="5" t="s">
        <v>223</v>
      </c>
      <c r="J8" s="5" t="s">
        <v>207</v>
      </c>
    </row>
    <row r="9" ht="36" customHeight="1" spans="1:10" x14ac:dyDescent="0.25">
      <c r="A9" s="5">
        <v>8</v>
      </c>
      <c r="B9" s="5" t="s">
        <v>225</v>
      </c>
      <c r="C9" s="5" t="s">
        <v>226</v>
      </c>
      <c r="D9" s="5" t="s">
        <v>76</v>
      </c>
      <c r="E9" s="15">
        <v>5</v>
      </c>
      <c r="F9" s="15">
        <v>8</v>
      </c>
      <c r="G9" s="15">
        <v>12</v>
      </c>
      <c r="H9" s="5" t="s">
        <v>205</v>
      </c>
      <c r="I9" s="5" t="s">
        <v>227</v>
      </c>
      <c r="J9" s="5" t="s">
        <v>207</v>
      </c>
    </row>
    <row r="10" ht="36" customHeight="1" spans="1:10" x14ac:dyDescent="0.25">
      <c r="A10" s="5">
        <v>9</v>
      </c>
      <c r="B10" s="5" t="s">
        <v>225</v>
      </c>
      <c r="C10" s="5" t="s">
        <v>228</v>
      </c>
      <c r="D10" s="5" t="s">
        <v>76</v>
      </c>
      <c r="E10" s="15">
        <v>3</v>
      </c>
      <c r="F10" s="15">
        <v>5</v>
      </c>
      <c r="G10" s="15">
        <v>10</v>
      </c>
      <c r="H10" s="5" t="s">
        <v>205</v>
      </c>
      <c r="I10" s="5" t="s">
        <v>1</v>
      </c>
      <c r="J10" s="5" t="s">
        <v>207</v>
      </c>
    </row>
    <row r="11" ht="36" customHeight="1" spans="1:10" x14ac:dyDescent="0.25">
      <c r="A11" s="5">
        <v>10</v>
      </c>
      <c r="B11" s="5" t="s">
        <v>229</v>
      </c>
      <c r="C11" s="5" t="s">
        <v>230</v>
      </c>
      <c r="D11" s="5" t="s">
        <v>231</v>
      </c>
      <c r="E11" s="15">
        <v>0.5</v>
      </c>
      <c r="F11" s="15">
        <v>1</v>
      </c>
      <c r="G11" s="15">
        <v>2</v>
      </c>
      <c r="H11" s="5" t="s">
        <v>232</v>
      </c>
      <c r="I11" s="5" t="s">
        <v>1</v>
      </c>
      <c r="J11" s="5" t="s">
        <v>207</v>
      </c>
    </row>
    <row r="12" ht="36" customHeight="1" spans="1:10" x14ac:dyDescent="0.25">
      <c r="A12" s="5">
        <v>11</v>
      </c>
      <c r="B12" s="5" t="s">
        <v>229</v>
      </c>
      <c r="C12" s="5" t="s">
        <v>233</v>
      </c>
      <c r="D12" s="5" t="s">
        <v>234</v>
      </c>
      <c r="E12" s="15">
        <v>2</v>
      </c>
      <c r="F12" s="15">
        <v>3</v>
      </c>
      <c r="G12" s="15">
        <v>4</v>
      </c>
      <c r="H12" s="5" t="s">
        <v>235</v>
      </c>
      <c r="I12" s="5" t="s">
        <v>236</v>
      </c>
      <c r="J12" s="5" t="s">
        <v>207</v>
      </c>
    </row>
    <row r="13" ht="36" customHeight="1" spans="1:10" x14ac:dyDescent="0.25">
      <c r="A13" s="5">
        <v>12</v>
      </c>
      <c r="B13" s="5" t="s">
        <v>229</v>
      </c>
      <c r="C13" s="5" t="s">
        <v>237</v>
      </c>
      <c r="D13" s="5" t="s">
        <v>88</v>
      </c>
      <c r="E13" s="15">
        <v>25</v>
      </c>
      <c r="F13" s="15">
        <v>30</v>
      </c>
      <c r="G13" s="15">
        <v>40</v>
      </c>
      <c r="H13" s="5" t="s">
        <v>205</v>
      </c>
      <c r="I13" s="5" t="s">
        <v>238</v>
      </c>
      <c r="J13" s="5" t="s">
        <v>207</v>
      </c>
    </row>
    <row r="14" ht="36" customHeight="1" spans="1:10" x14ac:dyDescent="0.25">
      <c r="A14" s="5">
        <v>13</v>
      </c>
      <c r="B14" s="5" t="s">
        <v>229</v>
      </c>
      <c r="C14" s="5" t="s">
        <v>150</v>
      </c>
      <c r="D14" s="5" t="s">
        <v>88</v>
      </c>
      <c r="E14" s="15">
        <v>7</v>
      </c>
      <c r="F14" s="15">
        <v>10</v>
      </c>
      <c r="G14" s="15">
        <v>15</v>
      </c>
      <c r="H14" s="5" t="s">
        <v>239</v>
      </c>
      <c r="I14" s="5" t="s">
        <v>240</v>
      </c>
      <c r="J14" s="5" t="s">
        <v>207</v>
      </c>
    </row>
    <row r="15" ht="52.5" customHeight="1" spans="1:10" x14ac:dyDescent="0.25">
      <c r="A15" s="5">
        <v>14</v>
      </c>
      <c r="B15" s="5" t="s">
        <v>241</v>
      </c>
      <c r="C15" s="5" t="s">
        <v>81</v>
      </c>
      <c r="D15" s="5" t="s">
        <v>82</v>
      </c>
      <c r="E15" s="15">
        <v>130</v>
      </c>
      <c r="F15" s="15">
        <v>150</v>
      </c>
      <c r="G15" s="15">
        <v>170</v>
      </c>
      <c r="H15" s="5" t="s">
        <v>242</v>
      </c>
      <c r="I15" s="5" t="s">
        <v>243</v>
      </c>
      <c r="J15" s="5" t="s">
        <v>244</v>
      </c>
    </row>
    <row r="16" ht="36" customHeight="1" spans="1:10" x14ac:dyDescent="0.25">
      <c r="A16" s="5">
        <v>15</v>
      </c>
      <c r="B16" s="5" t="s">
        <v>241</v>
      </c>
      <c r="C16" s="5" t="s">
        <v>84</v>
      </c>
      <c r="D16" s="5" t="s">
        <v>85</v>
      </c>
      <c r="E16" s="15">
        <v>2</v>
      </c>
      <c r="F16" s="15">
        <v>4</v>
      </c>
      <c r="G16" s="15">
        <v>6</v>
      </c>
      <c r="H16" s="5" t="s">
        <v>205</v>
      </c>
      <c r="I16" s="5" t="s">
        <v>1</v>
      </c>
      <c r="J16" s="5" t="s">
        <v>207</v>
      </c>
    </row>
    <row r="17" ht="36" customHeight="1" spans="1:10" x14ac:dyDescent="0.25">
      <c r="A17" s="5">
        <v>16</v>
      </c>
      <c r="B17" s="5" t="s">
        <v>245</v>
      </c>
      <c r="C17" s="5" t="s">
        <v>246</v>
      </c>
      <c r="D17" s="5" t="s">
        <v>204</v>
      </c>
      <c r="E17" s="15">
        <v>200000</v>
      </c>
      <c r="F17" s="15">
        <v>350000</v>
      </c>
      <c r="G17" s="15">
        <v>600000</v>
      </c>
      <c r="H17" s="5" t="s">
        <v>205</v>
      </c>
      <c r="I17" s="5" t="s">
        <v>247</v>
      </c>
      <c r="J17" s="5" t="s">
        <v>207</v>
      </c>
    </row>
    <row r="18" ht="36" customHeight="1" spans="1:10" x14ac:dyDescent="0.25">
      <c r="A18" s="5">
        <v>17</v>
      </c>
      <c r="B18" s="5" t="s">
        <v>248</v>
      </c>
      <c r="C18" s="5" t="s">
        <v>249</v>
      </c>
      <c r="D18" s="5" t="s">
        <v>204</v>
      </c>
      <c r="E18" s="15">
        <v>60000</v>
      </c>
      <c r="F18" s="15">
        <v>100000</v>
      </c>
      <c r="G18" s="15">
        <v>160000</v>
      </c>
      <c r="H18" s="5" t="s">
        <v>205</v>
      </c>
      <c r="I18" s="5" t="s">
        <v>250</v>
      </c>
      <c r="J18" s="5" t="s">
        <v>207</v>
      </c>
    </row>
    <row r="19" ht="36" customHeight="1" spans="1:10" x14ac:dyDescent="0.25">
      <c r="A19" s="5">
        <v>18</v>
      </c>
      <c r="B19" s="5" t="s">
        <v>251</v>
      </c>
      <c r="C19" s="5" t="s">
        <v>252</v>
      </c>
      <c r="D19" s="5" t="s">
        <v>215</v>
      </c>
      <c r="E19" s="15">
        <v>20000000</v>
      </c>
      <c r="F19" s="15">
        <v>40000000</v>
      </c>
      <c r="G19" s="15">
        <v>80000000</v>
      </c>
      <c r="H19" s="5" t="s">
        <v>205</v>
      </c>
      <c r="I19" s="5" t="s">
        <v>253</v>
      </c>
      <c r="J19" s="5" t="s">
        <v>207</v>
      </c>
    </row>
    <row r="20" ht="36" customHeight="1" spans="1:10" x14ac:dyDescent="0.25">
      <c r="A20" s="5">
        <v>19</v>
      </c>
      <c r="B20" s="5" t="s">
        <v>251</v>
      </c>
      <c r="C20" s="5" t="s">
        <v>254</v>
      </c>
      <c r="D20" s="5" t="s">
        <v>255</v>
      </c>
      <c r="E20" s="15">
        <v>2000000</v>
      </c>
      <c r="F20" s="15">
        <v>4000000</v>
      </c>
      <c r="G20" s="15">
        <v>8000000</v>
      </c>
      <c r="H20" s="5" t="s">
        <v>205</v>
      </c>
      <c r="I20" s="5" t="s">
        <v>256</v>
      </c>
      <c r="J20" s="5" t="s">
        <v>207</v>
      </c>
    </row>
    <row r="21" ht="52.5" customHeight="1" spans="1:10" x14ac:dyDescent="0.25">
      <c r="A21" s="5">
        <v>20</v>
      </c>
      <c r="B21" s="5" t="s">
        <v>257</v>
      </c>
      <c r="C21" s="5" t="s">
        <v>258</v>
      </c>
      <c r="D21" s="5" t="s">
        <v>204</v>
      </c>
      <c r="E21" s="15">
        <v>350000</v>
      </c>
      <c r="F21" s="15">
        <v>500000</v>
      </c>
      <c r="G21" s="15">
        <v>800000</v>
      </c>
      <c r="H21" s="5" t="s">
        <v>205</v>
      </c>
      <c r="I21" s="5" t="s">
        <v>259</v>
      </c>
      <c r="J21" s="5" t="s">
        <v>207</v>
      </c>
    </row>
    <row r="23" ht="36" customHeight="1" spans="1:10" x14ac:dyDescent="0.25">
      <c r="A23" s="5" t="s">
        <v>1</v>
      </c>
      <c r="B23" s="5" t="s">
        <v>260</v>
      </c>
      <c r="C23" s="5" t="s">
        <v>261</v>
      </c>
      <c r="D23" s="5"/>
      <c r="E23" s="5"/>
      <c r="F23" s="5"/>
      <c r="G23" s="5"/>
      <c r="H23" s="5"/>
      <c r="I23" s="5"/>
      <c r="J23" s="5"/>
    </row>
    <row r="25" spans="1:9" x14ac:dyDescent="0.25">
      <c r="A25" s="5">
        <v>21</v>
      </c>
      <c r="B25" s="5" t="s">
        <v>229</v>
      </c>
      <c r="C25" s="5" t="s">
        <v>191</v>
      </c>
      <c r="D25" s="5" t="s">
        <v>88</v>
      </c>
      <c r="E25" s="15">
        <v>3</v>
      </c>
      <c r="F25" s="15">
        <v>5</v>
      </c>
      <c r="G25" s="15">
        <v>8</v>
      </c>
      <c r="H25" s="5" t="s">
        <v>262</v>
      </c>
      <c r="I25" s="5"/>
    </row>
    <row r="26" spans="1:9" x14ac:dyDescent="0.25">
      <c r="A26" s="5">
        <v>22</v>
      </c>
      <c r="B26" s="5" t="s">
        <v>229</v>
      </c>
      <c r="C26" s="5" t="s">
        <v>263</v>
      </c>
      <c r="D26" s="5" t="s">
        <v>194</v>
      </c>
      <c r="E26" s="15">
        <v>0.5</v>
      </c>
      <c r="F26" s="15">
        <v>1</v>
      </c>
      <c r="G26" s="15">
        <v>2</v>
      </c>
      <c r="H26" s="5" t="s">
        <v>264</v>
      </c>
      <c r="I26" s="5"/>
    </row>
  </sheetData>
  <mergeCells count="1">
    <mergeCell ref="C23:J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30" customWidth="1"/>
    <col min="2" max="4" width="16" customWidth="1"/>
    <col min="5" max="5" width="60" customWidth="1"/>
    <col min="6" max="6" width="12" customWidth="1"/>
  </cols>
  <sheetData>
    <row r="1" ht="19.5" customHeight="1" spans="1:1" s="16" customFormat="1" x14ac:dyDescent="0.25">
      <c r="A1" s="17" t="s">
        <v>265</v>
      </c>
    </row>
    <row r="2" ht="19.5" customHeight="1" spans="1:6" x14ac:dyDescent="0.25">
      <c r="A2" s="5" t="s">
        <v>266</v>
      </c>
      <c r="B2" s="5"/>
      <c r="C2" s="5"/>
      <c r="D2" s="5"/>
      <c r="E2" s="5"/>
      <c r="F2" s="5"/>
    </row>
    <row r="3" ht="19.5" customHeight="1" spans="1:6" x14ac:dyDescent="0.25">
      <c r="A3" s="5" t="s">
        <v>267</v>
      </c>
      <c r="B3" s="5"/>
      <c r="C3" s="5"/>
      <c r="D3" s="5"/>
      <c r="E3" s="5"/>
      <c r="F3" s="5"/>
    </row>
    <row r="4" ht="19.5" customHeight="1" spans="1:6" x14ac:dyDescent="0.25">
      <c r="A4" s="5" t="s">
        <v>268</v>
      </c>
      <c r="B4" s="5"/>
      <c r="C4" s="5"/>
      <c r="D4" s="5"/>
      <c r="E4" s="5"/>
      <c r="F4" s="5"/>
    </row>
    <row r="6" ht="19.5" customHeight="1" spans="1:6" x14ac:dyDescent="0.25">
      <c r="A6" s="9" t="s">
        <v>269</v>
      </c>
      <c r="B6" s="9" t="s">
        <v>270</v>
      </c>
      <c r="C6" s="9" t="s">
        <v>271</v>
      </c>
      <c r="D6" s="9" t="s">
        <v>272</v>
      </c>
      <c r="E6" s="9" t="s">
        <v>273</v>
      </c>
      <c r="F6" s="9" t="s">
        <v>29</v>
      </c>
    </row>
    <row r="7" ht="52.5" customHeight="1" spans="1:6" x14ac:dyDescent="0.25">
      <c r="A7" s="5" t="s">
        <v>274</v>
      </c>
      <c r="B7" s="13">
        <v>1</v>
      </c>
      <c r="C7" s="13">
        <v>1</v>
      </c>
      <c r="D7" s="13">
        <v>1</v>
      </c>
      <c r="E7" s="5" t="s">
        <v>275</v>
      </c>
      <c r="F7" s="5" t="s">
        <v>276</v>
      </c>
    </row>
    <row r="8" ht="52.5" customHeight="1" spans="1:6" x14ac:dyDescent="0.25">
      <c r="A8" s="5" t="s">
        <v>277</v>
      </c>
      <c r="B8" s="13">
        <v>0.45</v>
      </c>
      <c r="C8" s="13">
        <v>0.55</v>
      </c>
      <c r="D8" s="13">
        <v>0.65</v>
      </c>
      <c r="E8" s="5" t="s">
        <v>275</v>
      </c>
      <c r="F8" s="5" t="s">
        <v>276</v>
      </c>
    </row>
    <row r="9" ht="52.5" customHeight="1" spans="1:6" x14ac:dyDescent="0.25">
      <c r="A9" s="5" t="s">
        <v>278</v>
      </c>
      <c r="B9" s="13">
        <v>0.2</v>
      </c>
      <c r="C9" s="13">
        <v>0.3</v>
      </c>
      <c r="D9" s="13">
        <v>0.4</v>
      </c>
      <c r="E9" s="5" t="s">
        <v>275</v>
      </c>
      <c r="F9" s="5" t="s">
        <v>276</v>
      </c>
    </row>
    <row r="10" ht="52.5" customHeight="1" spans="1:6" x14ac:dyDescent="0.25">
      <c r="A10" s="5" t="s">
        <v>279</v>
      </c>
      <c r="B10" s="13">
        <v>0.15</v>
      </c>
      <c r="C10" s="13">
        <v>0.25</v>
      </c>
      <c r="D10" s="13">
        <v>0.35</v>
      </c>
      <c r="E10" s="5" t="s">
        <v>275</v>
      </c>
      <c r="F10" s="5" t="s">
        <v>276</v>
      </c>
    </row>
    <row r="12" ht="52.5" customHeight="1" spans="1:6" x14ac:dyDescent="0.25">
      <c r="A12" s="14" t="s">
        <v>280</v>
      </c>
      <c r="B12" s="5" t="s">
        <v>1</v>
      </c>
      <c r="C12" s="5" t="s">
        <v>1</v>
      </c>
      <c r="D12" s="5" t="s">
        <v>1</v>
      </c>
      <c r="E12" s="5" t="s">
        <v>281</v>
      </c>
      <c r="F12" s="5" t="s">
        <v>1</v>
      </c>
    </row>
    <row r="14" ht="19.5" customHeight="1" spans="1:6" x14ac:dyDescent="0.25">
      <c r="A14" s="5" t="s">
        <v>282</v>
      </c>
      <c r="B14" s="5"/>
      <c r="C14" s="5"/>
      <c r="D14" s="5"/>
      <c r="E14" s="5"/>
      <c r="F14" s="5"/>
    </row>
  </sheetData>
  <mergeCells count="4">
    <mergeCell ref="A2:F2"/>
    <mergeCell ref="A3:F3"/>
    <mergeCell ref="A4:F4"/>
    <mergeCell ref="A14:F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62" customWidth="1"/>
    <col min="4" max="4" width="26" customWidth="1"/>
    <col min="5" max="5" width="12" customWidth="1"/>
    <col min="6" max="6" width="24" customWidth="1"/>
  </cols>
  <sheetData>
    <row r="1" ht="19.5" customHeight="1" spans="1:6" x14ac:dyDescent="0.25">
      <c r="A1" s="9" t="s">
        <v>22</v>
      </c>
      <c r="B1" s="9" t="s">
        <v>283</v>
      </c>
      <c r="C1" s="9" t="s">
        <v>284</v>
      </c>
      <c r="D1" s="9" t="s">
        <v>285</v>
      </c>
      <c r="E1" s="9" t="s">
        <v>286</v>
      </c>
      <c r="F1" s="9" t="s">
        <v>287</v>
      </c>
    </row>
    <row r="2" ht="36" customHeight="1" spans="1:6" x14ac:dyDescent="0.25">
      <c r="A2" s="5">
        <v>1</v>
      </c>
      <c r="B2" s="5" t="s">
        <v>288</v>
      </c>
      <c r="C2" s="5" t="s">
        <v>289</v>
      </c>
      <c r="D2" s="5" t="s">
        <v>290</v>
      </c>
      <c r="E2" s="5" t="s">
        <v>291</v>
      </c>
      <c r="F2" s="10" t="s">
        <v>1</v>
      </c>
    </row>
    <row r="3" ht="52.5" customHeight="1" spans="1:6" x14ac:dyDescent="0.25">
      <c r="A3" s="5">
        <v>2</v>
      </c>
      <c r="B3" s="5" t="s">
        <v>292</v>
      </c>
      <c r="C3" s="5" t="s">
        <v>293</v>
      </c>
      <c r="D3" s="5" t="s">
        <v>294</v>
      </c>
      <c r="E3" s="5" t="s">
        <v>295</v>
      </c>
      <c r="F3" s="10" t="s">
        <v>1</v>
      </c>
    </row>
    <row r="4" ht="19.5" customHeight="1" spans="1:6" x14ac:dyDescent="0.25">
      <c r="A4" s="5">
        <v>3</v>
      </c>
      <c r="B4" s="5" t="s">
        <v>296</v>
      </c>
      <c r="C4" s="5" t="s">
        <v>297</v>
      </c>
      <c r="D4" s="5" t="s">
        <v>298</v>
      </c>
      <c r="E4" s="5" t="s">
        <v>56</v>
      </c>
      <c r="F4" s="10" t="s">
        <v>1</v>
      </c>
    </row>
    <row r="5" ht="52.5" customHeight="1" spans="1:6" x14ac:dyDescent="0.25">
      <c r="A5" s="5">
        <v>4</v>
      </c>
      <c r="B5" s="5" t="s">
        <v>299</v>
      </c>
      <c r="C5" s="5" t="s">
        <v>300</v>
      </c>
      <c r="D5" s="5" t="s">
        <v>301</v>
      </c>
      <c r="E5" s="5" t="s">
        <v>302</v>
      </c>
      <c r="F5" s="10" t="s">
        <v>1</v>
      </c>
    </row>
    <row r="6" ht="69" customHeight="1" spans="1:6" x14ac:dyDescent="0.25">
      <c r="A6" s="5">
        <v>5</v>
      </c>
      <c r="B6" s="5" t="s">
        <v>303</v>
      </c>
      <c r="C6" s="5" t="s">
        <v>304</v>
      </c>
      <c r="D6" s="5" t="s">
        <v>305</v>
      </c>
      <c r="E6" s="5" t="s">
        <v>295</v>
      </c>
      <c r="F6" s="10" t="s">
        <v>1</v>
      </c>
    </row>
    <row r="7" ht="36" customHeight="1" spans="1:6" x14ac:dyDescent="0.25">
      <c r="A7" s="5">
        <v>6</v>
      </c>
      <c r="B7" s="5" t="s">
        <v>306</v>
      </c>
      <c r="C7" s="5" t="s">
        <v>307</v>
      </c>
      <c r="D7" s="5" t="s">
        <v>308</v>
      </c>
      <c r="E7" s="5" t="s">
        <v>309</v>
      </c>
      <c r="F7" s="10" t="s">
        <v>1</v>
      </c>
    </row>
    <row r="8" ht="36" customHeight="1" spans="1:6" x14ac:dyDescent="0.25">
      <c r="A8" s="5">
        <v>7</v>
      </c>
      <c r="B8" s="5" t="s">
        <v>310</v>
      </c>
      <c r="C8" s="5" t="s">
        <v>311</v>
      </c>
      <c r="D8" s="5" t="s">
        <v>312</v>
      </c>
      <c r="E8" s="5" t="s">
        <v>42</v>
      </c>
      <c r="F8" s="10" t="s">
        <v>1</v>
      </c>
    </row>
    <row r="9" ht="36" customHeight="1" spans="1:6" x14ac:dyDescent="0.25">
      <c r="A9" s="5">
        <v>8</v>
      </c>
      <c r="B9" s="5" t="s">
        <v>313</v>
      </c>
      <c r="C9" s="5" t="s">
        <v>314</v>
      </c>
      <c r="D9" s="5" t="s">
        <v>315</v>
      </c>
      <c r="E9" s="5" t="s">
        <v>73</v>
      </c>
      <c r="F9" s="10" t="s">
        <v>1</v>
      </c>
    </row>
    <row r="10" ht="36" customHeight="1" spans="1:6" x14ac:dyDescent="0.25">
      <c r="A10" s="5">
        <v>9</v>
      </c>
      <c r="B10" s="5" t="s">
        <v>316</v>
      </c>
      <c r="C10" s="5" t="s">
        <v>317</v>
      </c>
      <c r="D10" s="5" t="s">
        <v>100</v>
      </c>
      <c r="E10" s="5" t="s">
        <v>73</v>
      </c>
      <c r="F10" s="10" t="s">
        <v>1</v>
      </c>
    </row>
    <row r="11" ht="52.5" customHeight="1" spans="1:6" x14ac:dyDescent="0.25">
      <c r="A11" s="5">
        <v>10</v>
      </c>
      <c r="B11" s="5" t="s">
        <v>318</v>
      </c>
      <c r="C11" s="5" t="s">
        <v>319</v>
      </c>
      <c r="D11" s="5" t="s">
        <v>100</v>
      </c>
      <c r="E11" s="5" t="s">
        <v>42</v>
      </c>
      <c r="F11" s="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8" customWidth="1"/>
    <col min="5" max="7" width="10" customWidth="1"/>
    <col min="8" max="8" width="12" customWidth="1"/>
    <col min="9" max="10" width="10" customWidth="1"/>
    <col min="11" max="11" width="12" customWidth="1"/>
    <col min="12" max="12" width="14" customWidth="1"/>
  </cols>
  <sheetData>
    <row r="1" ht="19.5" customHeight="1" spans="1:12" s="16" customFormat="1" x14ac:dyDescent="0.25">
      <c r="A1" s="17" t="s">
        <v>320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ht="36" customHeight="1" spans="1:12" x14ac:dyDescent="0.25">
      <c r="A2" s="5" t="s">
        <v>321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36" customHeight="1" spans="1:12" x14ac:dyDescent="0.25">
      <c r="A3" s="5" t="s">
        <v>322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ht="36" customHeight="1" spans="1:12" x14ac:dyDescent="0.25">
      <c r="A5" s="9" t="s">
        <v>39</v>
      </c>
      <c r="B5" s="9" t="s">
        <v>323</v>
      </c>
      <c r="C5" s="9" t="s">
        <v>324</v>
      </c>
      <c r="D5" s="9" t="s">
        <v>44</v>
      </c>
      <c r="E5" s="9" t="s">
        <v>325</v>
      </c>
      <c r="F5" s="9" t="s">
        <v>326</v>
      </c>
      <c r="G5" s="9" t="s">
        <v>327</v>
      </c>
      <c r="H5" s="9" t="s">
        <v>29</v>
      </c>
      <c r="I5" s="9" t="s">
        <v>328</v>
      </c>
      <c r="J5" s="9" t="s">
        <v>329</v>
      </c>
      <c r="K5" s="9" t="s">
        <v>330</v>
      </c>
      <c r="L5" s="9" t="s">
        <v>331</v>
      </c>
    </row>
    <row r="6" ht="19.5" customHeight="1" spans="1:12" x14ac:dyDescent="0.25">
      <c r="A6" s="5" t="s">
        <v>332</v>
      </c>
      <c r="B6" s="5" t="s">
        <v>333</v>
      </c>
      <c r="C6" s="5">
        <v>30</v>
      </c>
      <c r="D6" s="5" t="s">
        <v>334</v>
      </c>
      <c r="E6" s="5">
        <v>90</v>
      </c>
      <c r="F6" s="5" t="s">
        <v>335</v>
      </c>
      <c r="G6" s="5" t="s">
        <v>336</v>
      </c>
      <c r="H6" s="5" t="s">
        <v>337</v>
      </c>
      <c r="I6" s="5" t="s">
        <v>338</v>
      </c>
      <c r="J6" s="5" t="s">
        <v>339</v>
      </c>
      <c r="K6" s="5">
        <v>52.6</v>
      </c>
      <c r="L6" s="5">
        <f>IF(F6="","",ROUND(((LEFT(G6,2)*60+MID(G6,4,2))-(LEFT(F6,2)*60+MID(F6,4,2)))/60,1))</f>
      </c>
    </row>
    <row r="7" ht="19.5" customHeight="1" spans="1:12" x14ac:dyDescent="0.25">
      <c r="A7" s="5" t="s">
        <v>332</v>
      </c>
      <c r="B7" s="5" t="s">
        <v>333</v>
      </c>
      <c r="C7" s="5">
        <v>30</v>
      </c>
      <c r="D7" s="5" t="s">
        <v>340</v>
      </c>
      <c r="E7" s="5">
        <v>180</v>
      </c>
      <c r="F7" s="5" t="s">
        <v>341</v>
      </c>
      <c r="G7" s="5" t="s">
        <v>342</v>
      </c>
      <c r="H7" s="5" t="s">
        <v>337</v>
      </c>
      <c r="I7" s="5" t="s">
        <v>338</v>
      </c>
      <c r="J7" s="5" t="s">
        <v>339</v>
      </c>
      <c r="K7" s="5">
        <v>52.6</v>
      </c>
      <c r="L7" s="5">
        <f>IF(F7="","",ROUND(((LEFT(G7,2)*60+MID(G7,4,2))-(LEFT(F7,2)*60+MID(F7,4,2)))/60,1))</f>
      </c>
    </row>
    <row r="8" ht="19.5" customHeight="1" spans="1:12" x14ac:dyDescent="0.25">
      <c r="A8" s="5" t="s">
        <v>332</v>
      </c>
      <c r="B8" s="5" t="s">
        <v>333</v>
      </c>
      <c r="C8" s="5">
        <v>30</v>
      </c>
      <c r="D8" s="5" t="s">
        <v>343</v>
      </c>
      <c r="E8" s="5">
        <v>270</v>
      </c>
      <c r="F8" s="5" t="s">
        <v>344</v>
      </c>
      <c r="G8" s="5" t="s">
        <v>345</v>
      </c>
      <c r="H8" s="5" t="s">
        <v>337</v>
      </c>
      <c r="I8" s="5" t="s">
        <v>338</v>
      </c>
      <c r="J8" s="5" t="s">
        <v>339</v>
      </c>
      <c r="K8" s="5">
        <v>52.6</v>
      </c>
      <c r="L8" s="5">
        <f>IF(F8="","",ROUND(((LEFT(G8,2)*60+MID(G8,4,2))-(LEFT(F8,2)*60+MID(F8,4,2)))/60,1))</f>
      </c>
    </row>
    <row r="9" ht="19.5" customHeight="1" spans="1:12" x14ac:dyDescent="0.25">
      <c r="A9" s="5" t="s">
        <v>332</v>
      </c>
      <c r="B9" s="5" t="s">
        <v>333</v>
      </c>
      <c r="C9" s="5">
        <v>30</v>
      </c>
      <c r="D9" s="5" t="s">
        <v>346</v>
      </c>
      <c r="E9" s="5">
        <v>0</v>
      </c>
      <c r="F9" s="5" t="s">
        <v>1</v>
      </c>
      <c r="G9" s="5" t="s">
        <v>1</v>
      </c>
      <c r="H9" s="5" t="s">
        <v>347</v>
      </c>
      <c r="I9" s="5" t="s">
        <v>338</v>
      </c>
      <c r="J9" s="5" t="s">
        <v>339</v>
      </c>
      <c r="K9" s="5">
        <v>52.6</v>
      </c>
      <c r="L9" s="5">
        <f>IF(F9="","",ROUND(((LEFT(G9,2)*60+MID(G9,4,2))-(LEFT(F9,2)*60+MID(F9,4,2)))/60,1))</f>
      </c>
    </row>
    <row r="10" ht="19.5" customHeight="1" spans="1:12" x14ac:dyDescent="0.25">
      <c r="A10" s="5" t="s">
        <v>348</v>
      </c>
      <c r="B10" s="5" t="s">
        <v>349</v>
      </c>
      <c r="C10" s="5">
        <v>60</v>
      </c>
      <c r="D10" s="5" t="s">
        <v>334</v>
      </c>
      <c r="E10" s="5">
        <v>90</v>
      </c>
      <c r="F10" s="5" t="s">
        <v>350</v>
      </c>
      <c r="G10" s="5" t="s">
        <v>351</v>
      </c>
      <c r="H10" s="5" t="s">
        <v>337</v>
      </c>
      <c r="I10" s="5" t="s">
        <v>352</v>
      </c>
      <c r="J10" s="5" t="s">
        <v>353</v>
      </c>
      <c r="K10" s="5">
        <v>76.1</v>
      </c>
      <c r="L10" s="5">
        <f>IF(F10="","",ROUND(((LEFT(G10,2)*60+MID(G10,4,2))-(LEFT(F10,2)*60+MID(F10,4,2)))/60,1))</f>
      </c>
    </row>
    <row r="11" ht="19.5" customHeight="1" spans="1:12" x14ac:dyDescent="0.25">
      <c r="A11" s="5" t="s">
        <v>348</v>
      </c>
      <c r="B11" s="5" t="s">
        <v>349</v>
      </c>
      <c r="C11" s="5">
        <v>60</v>
      </c>
      <c r="D11" s="5" t="s">
        <v>340</v>
      </c>
      <c r="E11" s="5">
        <v>180</v>
      </c>
      <c r="F11" s="5" t="s">
        <v>354</v>
      </c>
      <c r="G11" s="5" t="s">
        <v>355</v>
      </c>
      <c r="H11" s="5" t="s">
        <v>337</v>
      </c>
      <c r="I11" s="5" t="s">
        <v>352</v>
      </c>
      <c r="J11" s="5" t="s">
        <v>353</v>
      </c>
      <c r="K11" s="5">
        <v>76.1</v>
      </c>
      <c r="L11" s="5">
        <f>IF(F11="","",ROUND(((LEFT(G11,2)*60+MID(G11,4,2))-(LEFT(F11,2)*60+MID(F11,4,2)))/60,1))</f>
      </c>
    </row>
    <row r="12" ht="19.5" customHeight="1" spans="1:12" x14ac:dyDescent="0.25">
      <c r="A12" s="5" t="s">
        <v>348</v>
      </c>
      <c r="B12" s="5" t="s">
        <v>349</v>
      </c>
      <c r="C12" s="5">
        <v>60</v>
      </c>
      <c r="D12" s="5" t="s">
        <v>343</v>
      </c>
      <c r="E12" s="5">
        <v>270</v>
      </c>
      <c r="F12" s="5" t="s">
        <v>356</v>
      </c>
      <c r="G12" s="5" t="s">
        <v>357</v>
      </c>
      <c r="H12" s="5" t="s">
        <v>337</v>
      </c>
      <c r="I12" s="5" t="s">
        <v>352</v>
      </c>
      <c r="J12" s="5" t="s">
        <v>353</v>
      </c>
      <c r="K12" s="5">
        <v>76.1</v>
      </c>
      <c r="L12" s="5">
        <f>IF(F12="","",ROUND(((LEFT(G12,2)*60+MID(G12,4,2))-(LEFT(F12,2)*60+MID(F12,4,2)))/60,1))</f>
      </c>
    </row>
    <row r="13" ht="19.5" customHeight="1" spans="1:12" x14ac:dyDescent="0.25">
      <c r="A13" s="5" t="s">
        <v>348</v>
      </c>
      <c r="B13" s="5" t="s">
        <v>349</v>
      </c>
      <c r="C13" s="5">
        <v>60</v>
      </c>
      <c r="D13" s="5" t="s">
        <v>346</v>
      </c>
      <c r="E13" s="5">
        <v>0</v>
      </c>
      <c r="F13" s="5" t="s">
        <v>1</v>
      </c>
      <c r="G13" s="5" t="s">
        <v>1</v>
      </c>
      <c r="H13" s="5" t="s">
        <v>347</v>
      </c>
      <c r="I13" s="5" t="s">
        <v>352</v>
      </c>
      <c r="J13" s="5" t="s">
        <v>353</v>
      </c>
      <c r="K13" s="5">
        <v>76.1</v>
      </c>
      <c r="L13" s="5">
        <f>IF(F13="","",ROUND(((LEFT(G13,2)*60+MID(G13,4,2))-(LEFT(F13,2)*60+MID(F13,4,2)))/60,1))</f>
      </c>
    </row>
    <row r="14" ht="19.5" customHeight="1" spans="1:12" x14ac:dyDescent="0.25">
      <c r="A14" s="5" t="s">
        <v>358</v>
      </c>
      <c r="B14" s="5" t="s">
        <v>359</v>
      </c>
      <c r="C14" s="5">
        <v>45</v>
      </c>
      <c r="D14" s="5" t="s">
        <v>334</v>
      </c>
      <c r="E14" s="5">
        <v>90</v>
      </c>
      <c r="F14" s="5" t="s">
        <v>360</v>
      </c>
      <c r="G14" s="5" t="s">
        <v>361</v>
      </c>
      <c r="H14" s="5" t="s">
        <v>337</v>
      </c>
      <c r="I14" s="5" t="s">
        <v>362</v>
      </c>
      <c r="J14" s="5" t="s">
        <v>363</v>
      </c>
      <c r="K14" s="5">
        <v>52.9</v>
      </c>
      <c r="L14" s="5">
        <f>IF(F14="","",ROUND(((LEFT(G14,2)*60+MID(G14,4,2))-(LEFT(F14,2)*60+MID(F14,4,2)))/60,1))</f>
      </c>
    </row>
    <row r="15" ht="19.5" customHeight="1" spans="1:12" x14ac:dyDescent="0.25">
      <c r="A15" s="5" t="s">
        <v>358</v>
      </c>
      <c r="B15" s="5" t="s">
        <v>359</v>
      </c>
      <c r="C15" s="5">
        <v>45</v>
      </c>
      <c r="D15" s="5" t="s">
        <v>340</v>
      </c>
      <c r="E15" s="5">
        <v>180</v>
      </c>
      <c r="F15" s="5" t="s">
        <v>361</v>
      </c>
      <c r="G15" s="5" t="s">
        <v>364</v>
      </c>
      <c r="H15" s="5" t="s">
        <v>337</v>
      </c>
      <c r="I15" s="5" t="s">
        <v>362</v>
      </c>
      <c r="J15" s="5" t="s">
        <v>363</v>
      </c>
      <c r="K15" s="5">
        <v>52.9</v>
      </c>
      <c r="L15" s="5">
        <f>IF(F15="","",ROUND(((LEFT(G15,2)*60+MID(G15,4,2))-(LEFT(F15,2)*60+MID(F15,4,2)))/60,1))</f>
      </c>
    </row>
    <row r="16" ht="19.5" customHeight="1" spans="1:12" x14ac:dyDescent="0.25">
      <c r="A16" s="5" t="s">
        <v>358</v>
      </c>
      <c r="B16" s="5" t="s">
        <v>359</v>
      </c>
      <c r="C16" s="5">
        <v>45</v>
      </c>
      <c r="D16" s="5" t="s">
        <v>343</v>
      </c>
      <c r="E16" s="5">
        <v>270</v>
      </c>
      <c r="F16" s="5" t="s">
        <v>364</v>
      </c>
      <c r="G16" s="5" t="s">
        <v>365</v>
      </c>
      <c r="H16" s="5" t="s">
        <v>337</v>
      </c>
      <c r="I16" s="5" t="s">
        <v>362</v>
      </c>
      <c r="J16" s="5" t="s">
        <v>363</v>
      </c>
      <c r="K16" s="5">
        <v>52.9</v>
      </c>
      <c r="L16" s="5">
        <f>IF(F16="","",ROUND(((LEFT(G16,2)*60+MID(G16,4,2))-(LEFT(F16,2)*60+MID(F16,4,2)))/60,1))</f>
      </c>
    </row>
    <row r="17" ht="19.5" customHeight="1" spans="1:12" x14ac:dyDescent="0.25">
      <c r="A17" s="5" t="s">
        <v>358</v>
      </c>
      <c r="B17" s="5" t="s">
        <v>359</v>
      </c>
      <c r="C17" s="5">
        <v>45</v>
      </c>
      <c r="D17" s="5" t="s">
        <v>346</v>
      </c>
      <c r="E17" s="5">
        <v>0</v>
      </c>
      <c r="F17" s="5" t="s">
        <v>1</v>
      </c>
      <c r="G17" s="5" t="s">
        <v>1</v>
      </c>
      <c r="H17" s="5" t="s">
        <v>347</v>
      </c>
      <c r="I17" s="5" t="s">
        <v>362</v>
      </c>
      <c r="J17" s="5" t="s">
        <v>363</v>
      </c>
      <c r="K17" s="5">
        <v>52.9</v>
      </c>
      <c r="L17" s="5">
        <f>IF(F17="","",ROUND(((LEFT(G17,2)*60+MID(G17,4,2))-(LEFT(F17,2)*60+MID(F17,4,2)))/60,1))</f>
      </c>
    </row>
    <row r="18" ht="19.5" customHeight="1" spans="1:12" x14ac:dyDescent="0.25">
      <c r="A18" s="5" t="s">
        <v>366</v>
      </c>
      <c r="B18" s="5" t="s">
        <v>367</v>
      </c>
      <c r="C18" s="5">
        <v>30</v>
      </c>
      <c r="D18" s="5" t="s">
        <v>334</v>
      </c>
      <c r="E18" s="5">
        <v>90</v>
      </c>
      <c r="F18" s="5" t="s">
        <v>1</v>
      </c>
      <c r="G18" s="5" t="s">
        <v>1</v>
      </c>
      <c r="H18" s="5" t="s">
        <v>347</v>
      </c>
      <c r="I18" s="5" t="s">
        <v>368</v>
      </c>
      <c r="J18" s="5" t="s">
        <v>369</v>
      </c>
      <c r="K18" s="5">
        <v>29.2</v>
      </c>
      <c r="L18" s="5">
        <f>IF(F18="","",ROUND(((LEFT(G18,2)*60+MID(G18,4,2))-(LEFT(F18,2)*60+MID(F18,4,2)))/60,1))</f>
      </c>
    </row>
    <row r="19" ht="19.5" customHeight="1" spans="1:12" x14ac:dyDescent="0.25">
      <c r="A19" s="5" t="s">
        <v>366</v>
      </c>
      <c r="B19" s="5" t="s">
        <v>367</v>
      </c>
      <c r="C19" s="5">
        <v>30</v>
      </c>
      <c r="D19" s="5" t="s">
        <v>340</v>
      </c>
      <c r="E19" s="5">
        <v>180</v>
      </c>
      <c r="F19" s="5" t="s">
        <v>370</v>
      </c>
      <c r="G19" s="5" t="s">
        <v>371</v>
      </c>
      <c r="H19" s="5" t="s">
        <v>337</v>
      </c>
      <c r="I19" s="5" t="s">
        <v>368</v>
      </c>
      <c r="J19" s="5" t="s">
        <v>369</v>
      </c>
      <c r="K19" s="5">
        <v>29.2</v>
      </c>
      <c r="L19" s="5">
        <f>IF(F19="","",ROUND(((LEFT(G19,2)*60+MID(G19,4,2))-(LEFT(F19,2)*60+MID(F19,4,2)))/60,1))</f>
      </c>
    </row>
    <row r="20" ht="19.5" customHeight="1" spans="1:12" x14ac:dyDescent="0.25">
      <c r="A20" s="5" t="s">
        <v>366</v>
      </c>
      <c r="B20" s="5" t="s">
        <v>367</v>
      </c>
      <c r="C20" s="5">
        <v>30</v>
      </c>
      <c r="D20" s="5" t="s">
        <v>343</v>
      </c>
      <c r="E20" s="5">
        <v>270</v>
      </c>
      <c r="F20" s="5" t="s">
        <v>1</v>
      </c>
      <c r="G20" s="5" t="s">
        <v>1</v>
      </c>
      <c r="H20" s="5" t="s">
        <v>347</v>
      </c>
      <c r="I20" s="5" t="s">
        <v>368</v>
      </c>
      <c r="J20" s="5" t="s">
        <v>369</v>
      </c>
      <c r="K20" s="5">
        <v>29.2</v>
      </c>
      <c r="L20" s="5">
        <f>IF(F20="","",ROUND(((LEFT(G20,2)*60+MID(G20,4,2))-(LEFT(F20,2)*60+MID(F20,4,2)))/60,1))</f>
      </c>
    </row>
    <row r="21" ht="19.5" customHeight="1" spans="1:12" x14ac:dyDescent="0.25">
      <c r="A21" s="5" t="s">
        <v>366</v>
      </c>
      <c r="B21" s="5" t="s">
        <v>367</v>
      </c>
      <c r="C21" s="5">
        <v>30</v>
      </c>
      <c r="D21" s="5" t="s">
        <v>346</v>
      </c>
      <c r="E21" s="5">
        <v>0</v>
      </c>
      <c r="F21" s="5" t="s">
        <v>1</v>
      </c>
      <c r="G21" s="5" t="s">
        <v>1</v>
      </c>
      <c r="H21" s="5" t="s">
        <v>347</v>
      </c>
      <c r="I21" s="5" t="s">
        <v>368</v>
      </c>
      <c r="J21" s="5" t="s">
        <v>369</v>
      </c>
      <c r="K21" s="5">
        <v>29.2</v>
      </c>
      <c r="L21" s="5">
        <f>IF(F21="","",ROUND(((LEFT(G21,2)*60+MID(G21,4,2))-(LEFT(F21,2)*60+MID(F21,4,2)))/60,1))</f>
      </c>
    </row>
    <row r="23" ht="19.5" customHeight="1" spans="1:12" s="1" customFormat="1" x14ac:dyDescent="0.25">
      <c r="A23" s="3" t="s">
        <v>372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9.5" customHeight="1" spans="1:12" x14ac:dyDescent="0.25">
      <c r="A24" s="5" t="s">
        <v>373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9.5" customHeight="1" spans="1:12" x14ac:dyDescent="0.25">
      <c r="A25" s="5" t="s">
        <v>374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9.5" customHeight="1" spans="1:12" x14ac:dyDescent="0.25">
      <c r="A26" s="5" t="s">
        <v>375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9.5" customHeight="1" spans="1:12" x14ac:dyDescent="0.25">
      <c r="A27" s="5" t="s">
        <v>376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9.5" customHeight="1" spans="1:12" x14ac:dyDescent="0.25">
      <c r="A28" s="5" t="s">
        <v>377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9.5" customHeight="1" spans="1:12" x14ac:dyDescent="0.25">
      <c r="A29" s="5" t="s">
        <v>378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</sheetData>
  <mergeCells count="10">
    <mergeCell ref="A1:L1"/>
    <mergeCell ref="A2:L2"/>
    <mergeCell ref="A3:L3"/>
    <mergeCell ref="A23:L23"/>
    <mergeCell ref="A24:L24"/>
    <mergeCell ref="A25:L25"/>
    <mergeCell ref="A26:L26"/>
    <mergeCell ref="A27:L27"/>
    <mergeCell ref="A28:L28"/>
    <mergeCell ref="A29:L2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0" customWidth="1"/>
  </cols>
  <sheetData>
    <row r="1" spans="1:14" x14ac:dyDescent="0.25">
      <c r="A1" s="18" t="s">
        <v>39</v>
      </c>
      <c r="B1" s="18" t="s">
        <v>323</v>
      </c>
      <c r="C1" s="18" t="s">
        <v>379</v>
      </c>
      <c r="D1" s="18" t="s">
        <v>380</v>
      </c>
      <c r="E1" s="18" t="s">
        <v>381</v>
      </c>
      <c r="F1" s="18" t="s">
        <v>382</v>
      </c>
      <c r="G1" s="18" t="s">
        <v>383</v>
      </c>
      <c r="H1" s="18" t="s">
        <v>384</v>
      </c>
      <c r="I1" s="18" t="s">
        <v>385</v>
      </c>
      <c r="J1" s="18" t="s">
        <v>386</v>
      </c>
      <c r="K1" s="18" t="s">
        <v>387</v>
      </c>
      <c r="L1" s="18" t="s">
        <v>388</v>
      </c>
      <c r="M1" s="18" t="s">
        <v>389</v>
      </c>
      <c r="N1" s="18" t="s">
        <v>390</v>
      </c>
    </row>
    <row r="2" spans="1:14" x14ac:dyDescent="0.25">
      <c r="A2" t="s">
        <v>332</v>
      </c>
      <c r="B2" t="s">
        <v>333</v>
      </c>
      <c r="C2">
        <v>1902.67</v>
      </c>
      <c r="D2" t="s">
        <v>338</v>
      </c>
      <c r="E2">
        <v>0</v>
      </c>
      <c r="F2">
        <v>90.2</v>
      </c>
      <c r="G2">
        <v>1</v>
      </c>
      <c r="H2">
        <v>-0.0034</v>
      </c>
      <c r="I2">
        <v>0.0001</v>
      </c>
      <c r="J2">
        <v>30</v>
      </c>
      <c r="K2" t="s">
        <v>391</v>
      </c>
      <c r="L2" t="s">
        <v>391</v>
      </c>
      <c r="M2" t="s">
        <v>391</v>
      </c>
      <c r="N2" t="s">
        <v>391</v>
      </c>
    </row>
    <row r="3" spans="1:14" x14ac:dyDescent="0.25">
      <c r="A3" t="s">
        <v>332</v>
      </c>
      <c r="B3" t="s">
        <v>333</v>
      </c>
      <c r="C3">
        <v>1902.83</v>
      </c>
      <c r="D3" t="s">
        <v>392</v>
      </c>
      <c r="E3">
        <v>1.99</v>
      </c>
      <c r="F3">
        <v>91.71</v>
      </c>
      <c r="G3">
        <v>0.9989</v>
      </c>
      <c r="H3">
        <v>-0.0299</v>
      </c>
      <c r="I3">
        <v>0.0348</v>
      </c>
      <c r="J3">
        <v>30</v>
      </c>
      <c r="K3" t="s">
        <v>391</v>
      </c>
      <c r="L3" t="s">
        <v>391</v>
      </c>
      <c r="M3" t="s">
        <v>391</v>
      </c>
      <c r="N3" t="s">
        <v>391</v>
      </c>
    </row>
    <row r="4" spans="1:14" x14ac:dyDescent="0.25">
      <c r="A4" t="s">
        <v>332</v>
      </c>
      <c r="B4" t="s">
        <v>333</v>
      </c>
      <c r="C4">
        <v>1903</v>
      </c>
      <c r="D4" t="s">
        <v>393</v>
      </c>
      <c r="E4">
        <v>3.98</v>
      </c>
      <c r="F4">
        <v>93.23</v>
      </c>
      <c r="G4">
        <v>0.996</v>
      </c>
      <c r="H4">
        <v>-0.0563</v>
      </c>
      <c r="I4">
        <v>0.0694</v>
      </c>
      <c r="J4">
        <v>30</v>
      </c>
      <c r="K4" t="s">
        <v>391</v>
      </c>
      <c r="L4" t="s">
        <v>391</v>
      </c>
      <c r="M4" t="s">
        <v>391</v>
      </c>
      <c r="N4" t="s">
        <v>391</v>
      </c>
    </row>
    <row r="5" spans="1:14" x14ac:dyDescent="0.25">
      <c r="A5" t="s">
        <v>332</v>
      </c>
      <c r="B5" t="s">
        <v>333</v>
      </c>
      <c r="C5">
        <v>1903.17</v>
      </c>
      <c r="D5" t="s">
        <v>394</v>
      </c>
      <c r="E5">
        <v>5.97</v>
      </c>
      <c r="F5">
        <v>94.76</v>
      </c>
      <c r="G5">
        <v>0.9912</v>
      </c>
      <c r="H5">
        <v>-0.0825</v>
      </c>
      <c r="I5">
        <v>0.1039</v>
      </c>
      <c r="J5">
        <v>30</v>
      </c>
      <c r="K5" t="s">
        <v>337</v>
      </c>
      <c r="L5" t="s">
        <v>391</v>
      </c>
      <c r="M5" t="s">
        <v>391</v>
      </c>
      <c r="N5" t="s">
        <v>391</v>
      </c>
    </row>
    <row r="6" spans="1:14" x14ac:dyDescent="0.25">
      <c r="A6" t="s">
        <v>332</v>
      </c>
      <c r="B6" t="s">
        <v>333</v>
      </c>
      <c r="C6">
        <v>1903.33</v>
      </c>
      <c r="D6" t="s">
        <v>395</v>
      </c>
      <c r="E6">
        <v>7.95</v>
      </c>
      <c r="F6">
        <v>96.3</v>
      </c>
      <c r="G6">
        <v>0.9844</v>
      </c>
      <c r="H6">
        <v>-0.1087</v>
      </c>
      <c r="I6">
        <v>0.1382</v>
      </c>
      <c r="J6">
        <v>30</v>
      </c>
      <c r="K6" t="s">
        <v>337</v>
      </c>
      <c r="L6" t="s">
        <v>391</v>
      </c>
      <c r="M6" t="s">
        <v>391</v>
      </c>
      <c r="N6" t="s">
        <v>391</v>
      </c>
    </row>
    <row r="7" spans="1:14" x14ac:dyDescent="0.25">
      <c r="A7" t="s">
        <v>332</v>
      </c>
      <c r="B7" t="s">
        <v>333</v>
      </c>
      <c r="C7">
        <v>1903.5</v>
      </c>
      <c r="D7" t="s">
        <v>396</v>
      </c>
      <c r="E7">
        <v>9.92</v>
      </c>
      <c r="F7">
        <v>97.85</v>
      </c>
      <c r="G7">
        <v>0.9758</v>
      </c>
      <c r="H7">
        <v>-0.1346</v>
      </c>
      <c r="I7">
        <v>0.1723</v>
      </c>
      <c r="J7">
        <v>30</v>
      </c>
      <c r="K7" t="s">
        <v>337</v>
      </c>
      <c r="L7" t="s">
        <v>391</v>
      </c>
      <c r="M7" t="s">
        <v>391</v>
      </c>
      <c r="N7" t="s">
        <v>391</v>
      </c>
    </row>
    <row r="8" spans="1:14" x14ac:dyDescent="0.25">
      <c r="A8" t="s">
        <v>332</v>
      </c>
      <c r="B8" t="s">
        <v>333</v>
      </c>
      <c r="C8">
        <v>1903.67</v>
      </c>
      <c r="D8" t="s">
        <v>397</v>
      </c>
      <c r="E8">
        <v>11.89</v>
      </c>
      <c r="F8">
        <v>99.43</v>
      </c>
      <c r="G8">
        <v>0.9653</v>
      </c>
      <c r="H8">
        <v>-0.1603</v>
      </c>
      <c r="I8">
        <v>0.206</v>
      </c>
      <c r="J8">
        <v>30</v>
      </c>
      <c r="K8" t="s">
        <v>337</v>
      </c>
      <c r="L8" t="s">
        <v>391</v>
      </c>
      <c r="M8" t="s">
        <v>391</v>
      </c>
      <c r="N8" t="s">
        <v>391</v>
      </c>
    </row>
    <row r="9" spans="1:14" x14ac:dyDescent="0.25">
      <c r="A9" t="s">
        <v>332</v>
      </c>
      <c r="B9" t="s">
        <v>333</v>
      </c>
      <c r="C9">
        <v>1903.83</v>
      </c>
      <c r="D9" t="s">
        <v>398</v>
      </c>
      <c r="E9">
        <v>13.84</v>
      </c>
      <c r="F9">
        <v>101.02</v>
      </c>
      <c r="G9">
        <v>0.953</v>
      </c>
      <c r="H9">
        <v>-0.1856</v>
      </c>
      <c r="I9">
        <v>0.2393</v>
      </c>
      <c r="J9">
        <v>30</v>
      </c>
      <c r="K9" t="s">
        <v>337</v>
      </c>
      <c r="L9" t="s">
        <v>391</v>
      </c>
      <c r="M9" t="s">
        <v>391</v>
      </c>
      <c r="N9" t="s">
        <v>391</v>
      </c>
    </row>
    <row r="10" spans="1:14" x14ac:dyDescent="0.25">
      <c r="A10" t="s">
        <v>332</v>
      </c>
      <c r="B10" t="s">
        <v>333</v>
      </c>
      <c r="C10">
        <v>1904</v>
      </c>
      <c r="D10" t="s">
        <v>399</v>
      </c>
      <c r="E10">
        <v>15.79</v>
      </c>
      <c r="F10">
        <v>102.64</v>
      </c>
      <c r="G10">
        <v>0.9389</v>
      </c>
      <c r="H10">
        <v>-0.2106</v>
      </c>
      <c r="I10">
        <v>0.2721</v>
      </c>
      <c r="J10">
        <v>30</v>
      </c>
      <c r="K10" t="s">
        <v>337</v>
      </c>
      <c r="L10" t="s">
        <v>391</v>
      </c>
      <c r="M10" t="s">
        <v>391</v>
      </c>
      <c r="N10" t="s">
        <v>391</v>
      </c>
    </row>
    <row r="11" spans="1:14" x14ac:dyDescent="0.25">
      <c r="A11" t="s">
        <v>332</v>
      </c>
      <c r="B11" t="s">
        <v>333</v>
      </c>
      <c r="C11">
        <v>1904.17</v>
      </c>
      <c r="D11" t="s">
        <v>400</v>
      </c>
      <c r="E11">
        <v>17.73</v>
      </c>
      <c r="F11">
        <v>104.3</v>
      </c>
      <c r="G11">
        <v>0.923</v>
      </c>
      <c r="H11">
        <v>-0.2353</v>
      </c>
      <c r="I11">
        <v>0.3045</v>
      </c>
      <c r="J11">
        <v>30</v>
      </c>
      <c r="K11" t="s">
        <v>337</v>
      </c>
      <c r="L11" t="s">
        <v>391</v>
      </c>
      <c r="M11" t="s">
        <v>391</v>
      </c>
      <c r="N11" t="s">
        <v>391</v>
      </c>
    </row>
    <row r="12" spans="1:14" x14ac:dyDescent="0.25">
      <c r="A12" t="s">
        <v>332</v>
      </c>
      <c r="B12" t="s">
        <v>333</v>
      </c>
      <c r="C12">
        <v>1904.33</v>
      </c>
      <c r="D12" t="s">
        <v>401</v>
      </c>
      <c r="E12">
        <v>19.65</v>
      </c>
      <c r="F12">
        <v>105.99</v>
      </c>
      <c r="G12">
        <v>0.9054</v>
      </c>
      <c r="H12">
        <v>-0.2594</v>
      </c>
      <c r="I12">
        <v>0.3362</v>
      </c>
      <c r="J12">
        <v>30</v>
      </c>
      <c r="K12" t="s">
        <v>337</v>
      </c>
      <c r="L12" t="s">
        <v>391</v>
      </c>
      <c r="M12" t="s">
        <v>391</v>
      </c>
      <c r="N12" t="s">
        <v>391</v>
      </c>
    </row>
    <row r="13" spans="1:14" x14ac:dyDescent="0.25">
      <c r="A13" t="s">
        <v>332</v>
      </c>
      <c r="B13" t="s">
        <v>333</v>
      </c>
      <c r="C13">
        <v>1904.5</v>
      </c>
      <c r="D13" t="s">
        <v>402</v>
      </c>
      <c r="E13">
        <v>21.55</v>
      </c>
      <c r="F13">
        <v>107.72</v>
      </c>
      <c r="G13">
        <v>0.886</v>
      </c>
      <c r="H13">
        <v>-0.2831</v>
      </c>
      <c r="I13">
        <v>0.3673</v>
      </c>
      <c r="J13">
        <v>30</v>
      </c>
      <c r="K13" t="s">
        <v>337</v>
      </c>
      <c r="L13" t="s">
        <v>391</v>
      </c>
      <c r="M13" t="s">
        <v>391</v>
      </c>
      <c r="N13" t="s">
        <v>391</v>
      </c>
    </row>
    <row r="14" spans="1:14" x14ac:dyDescent="0.25">
      <c r="A14" t="s">
        <v>332</v>
      </c>
      <c r="B14" t="s">
        <v>333</v>
      </c>
      <c r="C14">
        <v>1904.67</v>
      </c>
      <c r="D14" t="s">
        <v>403</v>
      </c>
      <c r="E14">
        <v>23.43</v>
      </c>
      <c r="F14">
        <v>109.5</v>
      </c>
      <c r="G14">
        <v>0.8649</v>
      </c>
      <c r="H14">
        <v>-0.3063</v>
      </c>
      <c r="I14">
        <v>0.3977</v>
      </c>
      <c r="J14">
        <v>30</v>
      </c>
      <c r="K14" t="s">
        <v>337</v>
      </c>
      <c r="L14" t="s">
        <v>391</v>
      </c>
      <c r="M14" t="s">
        <v>391</v>
      </c>
      <c r="N14" t="s">
        <v>391</v>
      </c>
    </row>
    <row r="15" spans="1:14" x14ac:dyDescent="0.25">
      <c r="A15" t="s">
        <v>332</v>
      </c>
      <c r="B15" t="s">
        <v>333</v>
      </c>
      <c r="C15">
        <v>1904.83</v>
      </c>
      <c r="D15" t="s">
        <v>404</v>
      </c>
      <c r="E15">
        <v>25.3</v>
      </c>
      <c r="F15">
        <v>111.33</v>
      </c>
      <c r="G15">
        <v>0.8422</v>
      </c>
      <c r="H15">
        <v>-0.3288</v>
      </c>
      <c r="I15">
        <v>0.4273</v>
      </c>
      <c r="J15">
        <v>30</v>
      </c>
      <c r="K15" t="s">
        <v>337</v>
      </c>
      <c r="L15" t="s">
        <v>391</v>
      </c>
      <c r="M15" t="s">
        <v>391</v>
      </c>
      <c r="N15" t="s">
        <v>391</v>
      </c>
    </row>
    <row r="16" spans="1:14" x14ac:dyDescent="0.25">
      <c r="A16" t="s">
        <v>332</v>
      </c>
      <c r="B16" t="s">
        <v>333</v>
      </c>
      <c r="C16">
        <v>1905</v>
      </c>
      <c r="D16" t="s">
        <v>405</v>
      </c>
      <c r="E16">
        <v>27.14</v>
      </c>
      <c r="F16">
        <v>113.22</v>
      </c>
      <c r="G16">
        <v>0.8178</v>
      </c>
      <c r="H16">
        <v>-0.3508</v>
      </c>
      <c r="I16">
        <v>0.4562</v>
      </c>
      <c r="J16">
        <v>30</v>
      </c>
      <c r="K16" t="s">
        <v>337</v>
      </c>
      <c r="L16" t="s">
        <v>391</v>
      </c>
      <c r="M16" t="s">
        <v>391</v>
      </c>
      <c r="N16" t="s">
        <v>391</v>
      </c>
    </row>
    <row r="17" spans="1:14" x14ac:dyDescent="0.25">
      <c r="A17" t="s">
        <v>332</v>
      </c>
      <c r="B17" t="s">
        <v>333</v>
      </c>
      <c r="C17">
        <v>1905.17</v>
      </c>
      <c r="D17" t="s">
        <v>406</v>
      </c>
      <c r="E17">
        <v>28.96</v>
      </c>
      <c r="F17">
        <v>115.16</v>
      </c>
      <c r="G17">
        <v>0.792</v>
      </c>
      <c r="H17">
        <v>-0.3721</v>
      </c>
      <c r="I17">
        <v>0.4841</v>
      </c>
      <c r="J17">
        <v>30</v>
      </c>
      <c r="K17" t="s">
        <v>337</v>
      </c>
      <c r="L17" t="s">
        <v>391</v>
      </c>
      <c r="M17" t="s">
        <v>391</v>
      </c>
      <c r="N17" t="s">
        <v>391</v>
      </c>
    </row>
    <row r="18" spans="1:14" x14ac:dyDescent="0.25">
      <c r="A18" t="s">
        <v>332</v>
      </c>
      <c r="B18" t="s">
        <v>333</v>
      </c>
      <c r="C18">
        <v>1905.33</v>
      </c>
      <c r="D18" t="s">
        <v>407</v>
      </c>
      <c r="E18">
        <v>30.74</v>
      </c>
      <c r="F18">
        <v>117.18</v>
      </c>
      <c r="G18">
        <v>0.7646</v>
      </c>
      <c r="H18">
        <v>-0.3926</v>
      </c>
      <c r="I18">
        <v>0.5112</v>
      </c>
      <c r="J18">
        <v>30</v>
      </c>
      <c r="K18" t="s">
        <v>337</v>
      </c>
      <c r="L18" t="s">
        <v>391</v>
      </c>
      <c r="M18" t="s">
        <v>391</v>
      </c>
      <c r="N18" t="s">
        <v>391</v>
      </c>
    </row>
    <row r="19" spans="1:14" x14ac:dyDescent="0.25">
      <c r="A19" t="s">
        <v>332</v>
      </c>
      <c r="B19" t="s">
        <v>333</v>
      </c>
      <c r="C19">
        <v>1905.5</v>
      </c>
      <c r="D19" t="s">
        <v>408</v>
      </c>
      <c r="E19">
        <v>32.49</v>
      </c>
      <c r="F19">
        <v>119.28</v>
      </c>
      <c r="G19">
        <v>0.7357</v>
      </c>
      <c r="H19">
        <v>-0.4125</v>
      </c>
      <c r="I19">
        <v>0.5372</v>
      </c>
      <c r="J19">
        <v>30</v>
      </c>
      <c r="K19" t="s">
        <v>337</v>
      </c>
      <c r="L19" t="s">
        <v>391</v>
      </c>
      <c r="M19" t="s">
        <v>391</v>
      </c>
      <c r="N19" t="s">
        <v>391</v>
      </c>
    </row>
    <row r="20" spans="1:14" x14ac:dyDescent="0.25">
      <c r="A20" t="s">
        <v>332</v>
      </c>
      <c r="B20" t="s">
        <v>333</v>
      </c>
      <c r="C20">
        <v>1905.67</v>
      </c>
      <c r="D20" t="s">
        <v>409</v>
      </c>
      <c r="E20">
        <v>34.21</v>
      </c>
      <c r="F20">
        <v>121.45</v>
      </c>
      <c r="G20">
        <v>0.7055</v>
      </c>
      <c r="H20">
        <v>-0.4315</v>
      </c>
      <c r="I20">
        <v>0.5622</v>
      </c>
      <c r="J20">
        <v>30</v>
      </c>
      <c r="K20" t="s">
        <v>391</v>
      </c>
      <c r="L20" t="s">
        <v>391</v>
      </c>
      <c r="M20" t="s">
        <v>391</v>
      </c>
      <c r="N20" t="s">
        <v>391</v>
      </c>
    </row>
    <row r="21" spans="1:14" x14ac:dyDescent="0.25">
      <c r="A21" t="s">
        <v>332</v>
      </c>
      <c r="B21" t="s">
        <v>333</v>
      </c>
      <c r="C21">
        <v>1905.83</v>
      </c>
      <c r="D21" t="s">
        <v>410</v>
      </c>
      <c r="E21">
        <v>35.89</v>
      </c>
      <c r="F21">
        <v>123.72</v>
      </c>
      <c r="G21">
        <v>0.6739</v>
      </c>
      <c r="H21">
        <v>-0.4497</v>
      </c>
      <c r="I21">
        <v>0.5862</v>
      </c>
      <c r="J21">
        <v>30</v>
      </c>
      <c r="K21" t="s">
        <v>391</v>
      </c>
      <c r="L21" t="s">
        <v>391</v>
      </c>
      <c r="M21" t="s">
        <v>391</v>
      </c>
      <c r="N21" t="s">
        <v>391</v>
      </c>
    </row>
    <row r="22" spans="1:14" x14ac:dyDescent="0.25">
      <c r="A22" t="s">
        <v>332</v>
      </c>
      <c r="B22" t="s">
        <v>333</v>
      </c>
      <c r="C22">
        <v>1906</v>
      </c>
      <c r="D22" t="s">
        <v>411</v>
      </c>
      <c r="E22">
        <v>37.52</v>
      </c>
      <c r="F22">
        <v>126.08</v>
      </c>
      <c r="G22">
        <v>0.641</v>
      </c>
      <c r="H22">
        <v>-0.4671</v>
      </c>
      <c r="I22">
        <v>0.609</v>
      </c>
      <c r="J22">
        <v>30</v>
      </c>
      <c r="K22" t="s">
        <v>391</v>
      </c>
      <c r="L22" t="s">
        <v>391</v>
      </c>
      <c r="M22" t="s">
        <v>391</v>
      </c>
      <c r="N22" t="s">
        <v>391</v>
      </c>
    </row>
    <row r="23" spans="1:14" x14ac:dyDescent="0.25">
      <c r="A23" t="s">
        <v>332</v>
      </c>
      <c r="B23" t="s">
        <v>333</v>
      </c>
      <c r="C23">
        <v>1906.17</v>
      </c>
      <c r="D23" t="s">
        <v>412</v>
      </c>
      <c r="E23">
        <v>39.1</v>
      </c>
      <c r="F23">
        <v>128.55</v>
      </c>
      <c r="G23">
        <v>0.6069</v>
      </c>
      <c r="H23">
        <v>-0.4836</v>
      </c>
      <c r="I23">
        <v>0.6307</v>
      </c>
      <c r="J23">
        <v>30</v>
      </c>
      <c r="K23" t="s">
        <v>391</v>
      </c>
      <c r="L23" t="s">
        <v>391</v>
      </c>
      <c r="M23" t="s">
        <v>391</v>
      </c>
      <c r="N23" t="s">
        <v>391</v>
      </c>
    </row>
    <row r="24" spans="1:14" x14ac:dyDescent="0.25">
      <c r="A24" t="s">
        <v>332</v>
      </c>
      <c r="B24" t="s">
        <v>333</v>
      </c>
      <c r="C24">
        <v>1906.33</v>
      </c>
      <c r="D24" t="s">
        <v>361</v>
      </c>
      <c r="E24">
        <v>40.63</v>
      </c>
      <c r="F24">
        <v>131.13</v>
      </c>
      <c r="G24">
        <v>0.5716</v>
      </c>
      <c r="H24">
        <v>-0.4992</v>
      </c>
      <c r="I24">
        <v>0.6512</v>
      </c>
      <c r="J24">
        <v>30</v>
      </c>
      <c r="K24" t="s">
        <v>391</v>
      </c>
      <c r="L24" t="s">
        <v>391</v>
      </c>
      <c r="M24" t="s">
        <v>391</v>
      </c>
      <c r="N24" t="s">
        <v>391</v>
      </c>
    </row>
    <row r="25" spans="1:14" x14ac:dyDescent="0.25">
      <c r="A25" t="s">
        <v>332</v>
      </c>
      <c r="B25" t="s">
        <v>333</v>
      </c>
      <c r="C25">
        <v>1906.5</v>
      </c>
      <c r="D25" t="s">
        <v>413</v>
      </c>
      <c r="E25">
        <v>42.1</v>
      </c>
      <c r="F25">
        <v>133.83</v>
      </c>
      <c r="G25">
        <v>0.5353</v>
      </c>
      <c r="H25">
        <v>-0.5138</v>
      </c>
      <c r="I25">
        <v>0.6704</v>
      </c>
      <c r="J25">
        <v>30</v>
      </c>
      <c r="K25" t="s">
        <v>391</v>
      </c>
      <c r="L25" t="s">
        <v>391</v>
      </c>
      <c r="M25" t="s">
        <v>391</v>
      </c>
      <c r="N25" t="s">
        <v>391</v>
      </c>
    </row>
    <row r="26" spans="1:14" x14ac:dyDescent="0.25">
      <c r="A26" t="s">
        <v>332</v>
      </c>
      <c r="B26" t="s">
        <v>333</v>
      </c>
      <c r="C26">
        <v>1906.67</v>
      </c>
      <c r="D26" t="s">
        <v>414</v>
      </c>
      <c r="E26">
        <v>43.5</v>
      </c>
      <c r="F26">
        <v>136.65</v>
      </c>
      <c r="G26">
        <v>0.4979</v>
      </c>
      <c r="H26">
        <v>-0.5274</v>
      </c>
      <c r="I26">
        <v>0.6884</v>
      </c>
      <c r="J26">
        <v>30</v>
      </c>
      <c r="K26" t="s">
        <v>391</v>
      </c>
      <c r="L26" t="s">
        <v>391</v>
      </c>
      <c r="M26" t="s">
        <v>391</v>
      </c>
      <c r="N26" t="s">
        <v>391</v>
      </c>
    </row>
    <row r="27" spans="1:14" x14ac:dyDescent="0.25">
      <c r="A27" t="s">
        <v>332</v>
      </c>
      <c r="B27" t="s">
        <v>333</v>
      </c>
      <c r="C27">
        <v>1906.83</v>
      </c>
      <c r="D27" t="s">
        <v>415</v>
      </c>
      <c r="E27">
        <v>44.83</v>
      </c>
      <c r="F27">
        <v>139.6</v>
      </c>
      <c r="G27">
        <v>0.4596</v>
      </c>
      <c r="H27">
        <v>-0.5401</v>
      </c>
      <c r="I27">
        <v>0.705</v>
      </c>
      <c r="J27">
        <v>30</v>
      </c>
      <c r="K27" t="s">
        <v>391</v>
      </c>
      <c r="L27" t="s">
        <v>391</v>
      </c>
      <c r="M27" t="s">
        <v>391</v>
      </c>
      <c r="N27" t="s">
        <v>391</v>
      </c>
    </row>
    <row r="28" spans="1:14" x14ac:dyDescent="0.25">
      <c r="A28" t="s">
        <v>332</v>
      </c>
      <c r="B28" t="s">
        <v>333</v>
      </c>
      <c r="C28">
        <v>1907</v>
      </c>
      <c r="D28" t="s">
        <v>416</v>
      </c>
      <c r="E28">
        <v>46.08</v>
      </c>
      <c r="F28">
        <v>142.69</v>
      </c>
      <c r="G28">
        <v>0.4204</v>
      </c>
      <c r="H28">
        <v>-0.5517</v>
      </c>
      <c r="I28">
        <v>0.7203</v>
      </c>
      <c r="J28">
        <v>30</v>
      </c>
      <c r="K28" t="s">
        <v>391</v>
      </c>
      <c r="L28" t="s">
        <v>391</v>
      </c>
      <c r="M28" t="s">
        <v>391</v>
      </c>
      <c r="N28" t="s">
        <v>391</v>
      </c>
    </row>
    <row r="29" spans="1:14" x14ac:dyDescent="0.25">
      <c r="A29" t="s">
        <v>332</v>
      </c>
      <c r="B29" t="s">
        <v>333</v>
      </c>
      <c r="C29">
        <v>1907.17</v>
      </c>
      <c r="D29" t="s">
        <v>417</v>
      </c>
      <c r="E29">
        <v>47.24</v>
      </c>
      <c r="F29">
        <v>145.92</v>
      </c>
      <c r="G29">
        <v>0.3805</v>
      </c>
      <c r="H29">
        <v>-0.5623</v>
      </c>
      <c r="I29">
        <v>0.7342</v>
      </c>
      <c r="J29">
        <v>30</v>
      </c>
      <c r="K29" t="s">
        <v>391</v>
      </c>
      <c r="L29" t="s">
        <v>391</v>
      </c>
      <c r="M29" t="s">
        <v>391</v>
      </c>
      <c r="N29" t="s">
        <v>391</v>
      </c>
    </row>
    <row r="30" spans="1:14" x14ac:dyDescent="0.25">
      <c r="A30" t="s">
        <v>332</v>
      </c>
      <c r="B30" t="s">
        <v>333</v>
      </c>
      <c r="C30">
        <v>1907.33</v>
      </c>
      <c r="D30" t="s">
        <v>418</v>
      </c>
      <c r="E30">
        <v>48.31</v>
      </c>
      <c r="F30">
        <v>149.28</v>
      </c>
      <c r="G30">
        <v>0.3397</v>
      </c>
      <c r="H30">
        <v>-0.5718</v>
      </c>
      <c r="I30">
        <v>0.7468</v>
      </c>
      <c r="J30">
        <v>30</v>
      </c>
      <c r="K30" t="s">
        <v>391</v>
      </c>
      <c r="L30" t="s">
        <v>391</v>
      </c>
      <c r="M30" t="s">
        <v>391</v>
      </c>
      <c r="N30" t="s">
        <v>391</v>
      </c>
    </row>
    <row r="31" spans="1:14" x14ac:dyDescent="0.25">
      <c r="A31" t="s">
        <v>332</v>
      </c>
      <c r="B31" t="s">
        <v>333</v>
      </c>
      <c r="C31">
        <v>1907.5</v>
      </c>
      <c r="D31" t="s">
        <v>419</v>
      </c>
      <c r="E31">
        <v>49.28</v>
      </c>
      <c r="F31">
        <v>152.78</v>
      </c>
      <c r="G31">
        <v>0.2984</v>
      </c>
      <c r="H31">
        <v>-0.5802</v>
      </c>
      <c r="I31">
        <v>0.7579</v>
      </c>
      <c r="J31">
        <v>30</v>
      </c>
      <c r="K31" t="s">
        <v>391</v>
      </c>
      <c r="L31" t="s">
        <v>337</v>
      </c>
      <c r="M31" t="s">
        <v>391</v>
      </c>
      <c r="N31" t="s">
        <v>391</v>
      </c>
    </row>
    <row r="32" spans="1:14" x14ac:dyDescent="0.25">
      <c r="A32" t="s">
        <v>332</v>
      </c>
      <c r="B32" t="s">
        <v>333</v>
      </c>
      <c r="C32">
        <v>1907.67</v>
      </c>
      <c r="D32" t="s">
        <v>420</v>
      </c>
      <c r="E32">
        <v>50.13</v>
      </c>
      <c r="F32">
        <v>156.42</v>
      </c>
      <c r="G32">
        <v>0.2565</v>
      </c>
      <c r="H32">
        <v>-0.5875</v>
      </c>
      <c r="I32">
        <v>0.7675</v>
      </c>
      <c r="J32">
        <v>30</v>
      </c>
      <c r="K32" t="s">
        <v>391</v>
      </c>
      <c r="L32" t="s">
        <v>337</v>
      </c>
      <c r="M32" t="s">
        <v>391</v>
      </c>
      <c r="N32" t="s">
        <v>391</v>
      </c>
    </row>
    <row r="33" spans="1:14" x14ac:dyDescent="0.25">
      <c r="A33" t="s">
        <v>332</v>
      </c>
      <c r="B33" t="s">
        <v>333</v>
      </c>
      <c r="C33">
        <v>1907.83</v>
      </c>
      <c r="D33" t="s">
        <v>421</v>
      </c>
      <c r="E33">
        <v>50.87</v>
      </c>
      <c r="F33">
        <v>160.17</v>
      </c>
      <c r="G33">
        <v>0.2141</v>
      </c>
      <c r="H33">
        <v>-0.5937</v>
      </c>
      <c r="I33">
        <v>0.7757</v>
      </c>
      <c r="J33">
        <v>30</v>
      </c>
      <c r="K33" t="s">
        <v>391</v>
      </c>
      <c r="L33" t="s">
        <v>337</v>
      </c>
      <c r="M33" t="s">
        <v>391</v>
      </c>
      <c r="N33" t="s">
        <v>391</v>
      </c>
    </row>
    <row r="34" spans="1:14" x14ac:dyDescent="0.25">
      <c r="A34" t="s">
        <v>332</v>
      </c>
      <c r="B34" t="s">
        <v>333</v>
      </c>
      <c r="C34">
        <v>1908</v>
      </c>
      <c r="D34" t="s">
        <v>422</v>
      </c>
      <c r="E34">
        <v>51.48</v>
      </c>
      <c r="F34">
        <v>164.04</v>
      </c>
      <c r="G34">
        <v>0.1712</v>
      </c>
      <c r="H34">
        <v>-0.5988</v>
      </c>
      <c r="I34">
        <v>0.7824</v>
      </c>
      <c r="J34">
        <v>30</v>
      </c>
      <c r="K34" t="s">
        <v>391</v>
      </c>
      <c r="L34" t="s">
        <v>337</v>
      </c>
      <c r="M34" t="s">
        <v>391</v>
      </c>
      <c r="N34" t="s">
        <v>391</v>
      </c>
    </row>
    <row r="35" spans="1:14" x14ac:dyDescent="0.25">
      <c r="A35" t="s">
        <v>332</v>
      </c>
      <c r="B35" t="s">
        <v>333</v>
      </c>
      <c r="C35">
        <v>1908.17</v>
      </c>
      <c r="D35" t="s">
        <v>423</v>
      </c>
      <c r="E35">
        <v>51.96</v>
      </c>
      <c r="F35">
        <v>168</v>
      </c>
      <c r="G35">
        <v>0.1281</v>
      </c>
      <c r="H35">
        <v>-0.6027</v>
      </c>
      <c r="I35">
        <v>0.7876</v>
      </c>
      <c r="J35">
        <v>30</v>
      </c>
      <c r="K35" t="s">
        <v>391</v>
      </c>
      <c r="L35" t="s">
        <v>337</v>
      </c>
      <c r="M35" t="s">
        <v>391</v>
      </c>
      <c r="N35" t="s">
        <v>391</v>
      </c>
    </row>
    <row r="36" spans="1:14" x14ac:dyDescent="0.25">
      <c r="A36" t="s">
        <v>332</v>
      </c>
      <c r="B36" t="s">
        <v>333</v>
      </c>
      <c r="C36">
        <v>1908.33</v>
      </c>
      <c r="D36" t="s">
        <v>424</v>
      </c>
      <c r="E36">
        <v>52.31</v>
      </c>
      <c r="F36">
        <v>172.04</v>
      </c>
      <c r="G36">
        <v>0.0847</v>
      </c>
      <c r="H36">
        <v>-0.6055</v>
      </c>
      <c r="I36">
        <v>0.7914</v>
      </c>
      <c r="J36">
        <v>30</v>
      </c>
      <c r="K36" t="s">
        <v>391</v>
      </c>
      <c r="L36" t="s">
        <v>337</v>
      </c>
      <c r="M36" t="s">
        <v>391</v>
      </c>
      <c r="N36" t="s">
        <v>391</v>
      </c>
    </row>
    <row r="37" spans="1:14" x14ac:dyDescent="0.25">
      <c r="A37" t="s">
        <v>332</v>
      </c>
      <c r="B37" t="s">
        <v>333</v>
      </c>
      <c r="C37">
        <v>1908.5</v>
      </c>
      <c r="D37" t="s">
        <v>425</v>
      </c>
      <c r="E37">
        <v>52.52</v>
      </c>
      <c r="F37">
        <v>176.12</v>
      </c>
      <c r="G37">
        <v>0.0411</v>
      </c>
      <c r="H37">
        <v>-0.6071</v>
      </c>
      <c r="I37">
        <v>0.7936</v>
      </c>
      <c r="J37">
        <v>30</v>
      </c>
      <c r="K37" t="s">
        <v>391</v>
      </c>
      <c r="L37" t="s">
        <v>337</v>
      </c>
      <c r="M37" t="s">
        <v>391</v>
      </c>
      <c r="N37" t="s">
        <v>391</v>
      </c>
    </row>
    <row r="38" spans="1:14" x14ac:dyDescent="0.25">
      <c r="A38" t="s">
        <v>332</v>
      </c>
      <c r="B38" t="s">
        <v>333</v>
      </c>
      <c r="C38">
        <v>1908.67</v>
      </c>
      <c r="D38" t="s">
        <v>426</v>
      </c>
      <c r="E38">
        <v>52.59</v>
      </c>
      <c r="F38">
        <v>180.24</v>
      </c>
      <c r="G38">
        <v>-0.0025</v>
      </c>
      <c r="H38">
        <v>-0.6076</v>
      </c>
      <c r="I38">
        <v>0.7943</v>
      </c>
      <c r="J38">
        <v>30</v>
      </c>
      <c r="K38" t="s">
        <v>391</v>
      </c>
      <c r="L38" t="s">
        <v>337</v>
      </c>
      <c r="M38" t="s">
        <v>391</v>
      </c>
      <c r="N38" t="s">
        <v>391</v>
      </c>
    </row>
    <row r="39" spans="1:14" x14ac:dyDescent="0.25">
      <c r="A39" t="s">
        <v>332</v>
      </c>
      <c r="B39" t="s">
        <v>333</v>
      </c>
      <c r="C39">
        <v>1908.83</v>
      </c>
      <c r="D39" t="s">
        <v>427</v>
      </c>
      <c r="E39">
        <v>52.51</v>
      </c>
      <c r="F39">
        <v>184.35</v>
      </c>
      <c r="G39">
        <v>-0.0461</v>
      </c>
      <c r="H39">
        <v>-0.6069</v>
      </c>
      <c r="I39">
        <v>0.7935</v>
      </c>
      <c r="J39">
        <v>30</v>
      </c>
      <c r="K39" t="s">
        <v>391</v>
      </c>
      <c r="L39" t="s">
        <v>337</v>
      </c>
      <c r="M39" t="s">
        <v>391</v>
      </c>
      <c r="N39" t="s">
        <v>391</v>
      </c>
    </row>
    <row r="40" spans="1:14" x14ac:dyDescent="0.25">
      <c r="A40" t="s">
        <v>332</v>
      </c>
      <c r="B40" t="s">
        <v>333</v>
      </c>
      <c r="C40">
        <v>1909</v>
      </c>
      <c r="D40" t="s">
        <v>428</v>
      </c>
      <c r="E40">
        <v>52.29</v>
      </c>
      <c r="F40">
        <v>188.43</v>
      </c>
      <c r="G40">
        <v>-0.0897</v>
      </c>
      <c r="H40">
        <v>-0.605</v>
      </c>
      <c r="I40">
        <v>0.7911</v>
      </c>
      <c r="J40">
        <v>30</v>
      </c>
      <c r="K40" t="s">
        <v>391</v>
      </c>
      <c r="L40" t="s">
        <v>337</v>
      </c>
      <c r="M40" t="s">
        <v>391</v>
      </c>
      <c r="N40" t="s">
        <v>391</v>
      </c>
    </row>
    <row r="41" spans="1:14" x14ac:dyDescent="0.25">
      <c r="A41" t="s">
        <v>332</v>
      </c>
      <c r="B41" t="s">
        <v>333</v>
      </c>
      <c r="C41">
        <v>1909.17</v>
      </c>
      <c r="D41" t="s">
        <v>429</v>
      </c>
      <c r="E41">
        <v>51.93</v>
      </c>
      <c r="F41">
        <v>192.46</v>
      </c>
      <c r="G41">
        <v>-0.133</v>
      </c>
      <c r="H41">
        <v>-0.6021</v>
      </c>
      <c r="I41">
        <v>0.7873</v>
      </c>
      <c r="J41">
        <v>30</v>
      </c>
      <c r="K41" t="s">
        <v>391</v>
      </c>
      <c r="L41" t="s">
        <v>337</v>
      </c>
      <c r="M41" t="s">
        <v>391</v>
      </c>
      <c r="N41" t="s">
        <v>391</v>
      </c>
    </row>
    <row r="42" spans="1:14" x14ac:dyDescent="0.25">
      <c r="A42" t="s">
        <v>332</v>
      </c>
      <c r="B42" t="s">
        <v>333</v>
      </c>
      <c r="C42">
        <v>1909.33</v>
      </c>
      <c r="D42" t="s">
        <v>430</v>
      </c>
      <c r="E42">
        <v>51.44</v>
      </c>
      <c r="F42">
        <v>196.41</v>
      </c>
      <c r="G42">
        <v>-0.1761</v>
      </c>
      <c r="H42">
        <v>-0.5979</v>
      </c>
      <c r="I42">
        <v>0.782</v>
      </c>
      <c r="J42">
        <v>30</v>
      </c>
      <c r="K42" t="s">
        <v>391</v>
      </c>
      <c r="L42" t="s">
        <v>337</v>
      </c>
      <c r="M42" t="s">
        <v>391</v>
      </c>
      <c r="N42" t="s">
        <v>391</v>
      </c>
    </row>
    <row r="43" spans="1:14" x14ac:dyDescent="0.25">
      <c r="A43" t="s">
        <v>332</v>
      </c>
      <c r="B43" t="s">
        <v>333</v>
      </c>
      <c r="C43">
        <v>1909.5</v>
      </c>
      <c r="D43" t="s">
        <v>431</v>
      </c>
      <c r="E43">
        <v>50.82</v>
      </c>
      <c r="F43">
        <v>200.27</v>
      </c>
      <c r="G43">
        <v>-0.2189</v>
      </c>
      <c r="H43">
        <v>-0.5927</v>
      </c>
      <c r="I43">
        <v>0.7751</v>
      </c>
      <c r="J43">
        <v>30</v>
      </c>
      <c r="K43" t="s">
        <v>391</v>
      </c>
      <c r="L43" t="s">
        <v>337</v>
      </c>
      <c r="M43" t="s">
        <v>391</v>
      </c>
      <c r="N43" t="s">
        <v>391</v>
      </c>
    </row>
    <row r="44" spans="1:14" x14ac:dyDescent="0.25">
      <c r="A44" t="s">
        <v>332</v>
      </c>
      <c r="B44" t="s">
        <v>333</v>
      </c>
      <c r="C44">
        <v>1909.67</v>
      </c>
      <c r="D44" t="s">
        <v>432</v>
      </c>
      <c r="E44">
        <v>50.07</v>
      </c>
      <c r="F44">
        <v>204.02</v>
      </c>
      <c r="G44">
        <v>-0.2613</v>
      </c>
      <c r="H44">
        <v>-0.5863</v>
      </c>
      <c r="I44">
        <v>0.7668</v>
      </c>
      <c r="J44">
        <v>30</v>
      </c>
      <c r="K44" t="s">
        <v>391</v>
      </c>
      <c r="L44" t="s">
        <v>337</v>
      </c>
      <c r="M44" t="s">
        <v>391</v>
      </c>
      <c r="N44" t="s">
        <v>391</v>
      </c>
    </row>
    <row r="45" spans="1:14" x14ac:dyDescent="0.25">
      <c r="A45" t="s">
        <v>332</v>
      </c>
      <c r="B45" t="s">
        <v>333</v>
      </c>
      <c r="C45">
        <v>1909.83</v>
      </c>
      <c r="D45" t="s">
        <v>433</v>
      </c>
      <c r="E45">
        <v>49.21</v>
      </c>
      <c r="F45">
        <v>207.65</v>
      </c>
      <c r="G45">
        <v>-0.3031</v>
      </c>
      <c r="H45">
        <v>-0.5787</v>
      </c>
      <c r="I45">
        <v>0.7571</v>
      </c>
      <c r="J45">
        <v>30</v>
      </c>
      <c r="K45" t="s">
        <v>391</v>
      </c>
      <c r="L45" t="s">
        <v>337</v>
      </c>
      <c r="M45" t="s">
        <v>391</v>
      </c>
      <c r="N45" t="s">
        <v>391</v>
      </c>
    </row>
    <row r="46" spans="1:14" x14ac:dyDescent="0.25">
      <c r="A46" t="s">
        <v>332</v>
      </c>
      <c r="B46" t="s">
        <v>333</v>
      </c>
      <c r="C46">
        <v>1910</v>
      </c>
      <c r="D46" t="s">
        <v>434</v>
      </c>
      <c r="E46">
        <v>48.23</v>
      </c>
      <c r="F46">
        <v>211.14</v>
      </c>
      <c r="G46">
        <v>-0.3444</v>
      </c>
      <c r="H46">
        <v>-0.5701</v>
      </c>
      <c r="I46">
        <v>0.7459</v>
      </c>
      <c r="J46">
        <v>30</v>
      </c>
      <c r="K46" t="s">
        <v>391</v>
      </c>
      <c r="L46" t="s">
        <v>391</v>
      </c>
      <c r="M46" t="s">
        <v>391</v>
      </c>
      <c r="N46" t="s">
        <v>391</v>
      </c>
    </row>
    <row r="47" spans="1:14" x14ac:dyDescent="0.25">
      <c r="A47" t="s">
        <v>332</v>
      </c>
      <c r="B47" t="s">
        <v>333</v>
      </c>
      <c r="C47">
        <v>1910.17</v>
      </c>
      <c r="D47" t="s">
        <v>435</v>
      </c>
      <c r="E47">
        <v>47.16</v>
      </c>
      <c r="F47">
        <v>214.49</v>
      </c>
      <c r="G47">
        <v>-0.3851</v>
      </c>
      <c r="H47">
        <v>-0.5604</v>
      </c>
      <c r="I47">
        <v>0.7332</v>
      </c>
      <c r="J47">
        <v>30</v>
      </c>
      <c r="K47" t="s">
        <v>391</v>
      </c>
      <c r="L47" t="s">
        <v>391</v>
      </c>
      <c r="M47" t="s">
        <v>391</v>
      </c>
      <c r="N47" t="s">
        <v>391</v>
      </c>
    </row>
    <row r="48" spans="1:14" x14ac:dyDescent="0.25">
      <c r="A48" t="s">
        <v>332</v>
      </c>
      <c r="B48" t="s">
        <v>333</v>
      </c>
      <c r="C48">
        <v>1910.33</v>
      </c>
      <c r="D48" t="s">
        <v>436</v>
      </c>
      <c r="E48">
        <v>45.99</v>
      </c>
      <c r="F48">
        <v>217.71</v>
      </c>
      <c r="G48">
        <v>-0.425</v>
      </c>
      <c r="H48">
        <v>-0.5497</v>
      </c>
      <c r="I48">
        <v>0.7192</v>
      </c>
      <c r="J48">
        <v>30</v>
      </c>
      <c r="K48" t="s">
        <v>391</v>
      </c>
      <c r="L48" t="s">
        <v>391</v>
      </c>
      <c r="M48" t="s">
        <v>391</v>
      </c>
      <c r="N48" t="s">
        <v>391</v>
      </c>
    </row>
    <row r="49" spans="1:14" x14ac:dyDescent="0.25">
      <c r="A49" t="s">
        <v>332</v>
      </c>
      <c r="B49" t="s">
        <v>333</v>
      </c>
      <c r="C49">
        <v>1910.5</v>
      </c>
      <c r="D49" t="s">
        <v>371</v>
      </c>
      <c r="E49">
        <v>44.73</v>
      </c>
      <c r="F49">
        <v>220.79</v>
      </c>
      <c r="G49">
        <v>-0.464</v>
      </c>
      <c r="H49">
        <v>-0.5379</v>
      </c>
      <c r="I49">
        <v>0.7038</v>
      </c>
      <c r="J49">
        <v>30</v>
      </c>
      <c r="K49" t="s">
        <v>391</v>
      </c>
      <c r="L49" t="s">
        <v>391</v>
      </c>
      <c r="M49" t="s">
        <v>391</v>
      </c>
      <c r="N49" t="s">
        <v>391</v>
      </c>
    </row>
    <row r="50" spans="1:14" x14ac:dyDescent="0.25">
      <c r="A50" t="s">
        <v>332</v>
      </c>
      <c r="B50" t="s">
        <v>333</v>
      </c>
      <c r="C50">
        <v>1910.67</v>
      </c>
      <c r="D50" t="s">
        <v>437</v>
      </c>
      <c r="E50">
        <v>43.4</v>
      </c>
      <c r="F50">
        <v>223.73</v>
      </c>
      <c r="G50">
        <v>-0.5023</v>
      </c>
      <c r="H50">
        <v>-0.525</v>
      </c>
      <c r="I50">
        <v>0.6871</v>
      </c>
      <c r="J50">
        <v>30</v>
      </c>
      <c r="K50" t="s">
        <v>391</v>
      </c>
      <c r="L50" t="s">
        <v>391</v>
      </c>
      <c r="M50" t="s">
        <v>391</v>
      </c>
      <c r="N50" t="s">
        <v>391</v>
      </c>
    </row>
    <row r="51" spans="1:14" x14ac:dyDescent="0.25">
      <c r="A51" t="s">
        <v>332</v>
      </c>
      <c r="B51" t="s">
        <v>333</v>
      </c>
      <c r="C51">
        <v>1910.83</v>
      </c>
      <c r="D51" t="s">
        <v>438</v>
      </c>
      <c r="E51">
        <v>41.99</v>
      </c>
      <c r="F51">
        <v>226.54</v>
      </c>
      <c r="G51">
        <v>-0.5395</v>
      </c>
      <c r="H51">
        <v>-0.5112</v>
      </c>
      <c r="I51">
        <v>0.669</v>
      </c>
      <c r="J51">
        <v>30</v>
      </c>
      <c r="K51" t="s">
        <v>391</v>
      </c>
      <c r="L51" t="s">
        <v>391</v>
      </c>
      <c r="M51" t="s">
        <v>391</v>
      </c>
      <c r="N51" t="s">
        <v>391</v>
      </c>
    </row>
    <row r="52" spans="1:14" x14ac:dyDescent="0.25">
      <c r="A52" t="s">
        <v>332</v>
      </c>
      <c r="B52" t="s">
        <v>333</v>
      </c>
      <c r="C52">
        <v>1911</v>
      </c>
      <c r="D52" t="s">
        <v>439</v>
      </c>
      <c r="E52">
        <v>40.52</v>
      </c>
      <c r="F52">
        <v>229.23</v>
      </c>
      <c r="G52">
        <v>-0.5757</v>
      </c>
      <c r="H52">
        <v>-0.4964</v>
      </c>
      <c r="I52">
        <v>0.6497</v>
      </c>
      <c r="J52">
        <v>30</v>
      </c>
      <c r="K52" t="s">
        <v>391</v>
      </c>
      <c r="L52" t="s">
        <v>391</v>
      </c>
      <c r="M52" t="s">
        <v>391</v>
      </c>
      <c r="N52" t="s">
        <v>391</v>
      </c>
    </row>
    <row r="53" spans="1:14" x14ac:dyDescent="0.25">
      <c r="A53" t="s">
        <v>332</v>
      </c>
      <c r="B53" t="s">
        <v>333</v>
      </c>
      <c r="C53">
        <v>1911.17</v>
      </c>
      <c r="D53" t="s">
        <v>440</v>
      </c>
      <c r="E53">
        <v>38.99</v>
      </c>
      <c r="F53">
        <v>231.8</v>
      </c>
      <c r="G53">
        <v>-0.6108</v>
      </c>
      <c r="H53">
        <v>-0.4806</v>
      </c>
      <c r="I53">
        <v>0.6292</v>
      </c>
      <c r="J53">
        <v>30</v>
      </c>
      <c r="K53" t="s">
        <v>391</v>
      </c>
      <c r="L53" t="s">
        <v>391</v>
      </c>
      <c r="M53" t="s">
        <v>391</v>
      </c>
      <c r="N53" t="s">
        <v>391</v>
      </c>
    </row>
    <row r="54" spans="1:14" x14ac:dyDescent="0.25">
      <c r="A54" t="s">
        <v>332</v>
      </c>
      <c r="B54" t="s">
        <v>333</v>
      </c>
      <c r="C54">
        <v>1911.33</v>
      </c>
      <c r="D54" t="s">
        <v>441</v>
      </c>
      <c r="E54">
        <v>37.4</v>
      </c>
      <c r="F54">
        <v>234.26</v>
      </c>
      <c r="G54">
        <v>-0.6448</v>
      </c>
      <c r="H54">
        <v>-0.464</v>
      </c>
      <c r="I54">
        <v>0.6074</v>
      </c>
      <c r="J54">
        <v>30</v>
      </c>
      <c r="K54" t="s">
        <v>391</v>
      </c>
      <c r="L54" t="s">
        <v>391</v>
      </c>
      <c r="M54" t="s">
        <v>391</v>
      </c>
      <c r="N54" t="s">
        <v>391</v>
      </c>
    </row>
    <row r="55" spans="1:14" x14ac:dyDescent="0.25">
      <c r="A55" t="s">
        <v>332</v>
      </c>
      <c r="B55" t="s">
        <v>333</v>
      </c>
      <c r="C55">
        <v>1911.5</v>
      </c>
      <c r="D55" t="s">
        <v>442</v>
      </c>
      <c r="E55">
        <v>35.77</v>
      </c>
      <c r="F55">
        <v>236.62</v>
      </c>
      <c r="G55">
        <v>-0.6775</v>
      </c>
      <c r="H55">
        <v>-0.4464</v>
      </c>
      <c r="I55">
        <v>0.5845</v>
      </c>
      <c r="J55">
        <v>30</v>
      </c>
      <c r="K55" t="s">
        <v>391</v>
      </c>
      <c r="L55" t="s">
        <v>391</v>
      </c>
      <c r="M55" t="s">
        <v>391</v>
      </c>
      <c r="N55" t="s">
        <v>391</v>
      </c>
    </row>
    <row r="56" spans="1:14" x14ac:dyDescent="0.25">
      <c r="A56" t="s">
        <v>332</v>
      </c>
      <c r="B56" t="s">
        <v>333</v>
      </c>
      <c r="C56">
        <v>1911.67</v>
      </c>
      <c r="D56" t="s">
        <v>443</v>
      </c>
      <c r="E56">
        <v>34.09</v>
      </c>
      <c r="F56">
        <v>238.88</v>
      </c>
      <c r="G56">
        <v>-0.709</v>
      </c>
      <c r="H56">
        <v>-0.428</v>
      </c>
      <c r="I56">
        <v>0.5605</v>
      </c>
      <c r="J56">
        <v>30</v>
      </c>
      <c r="K56" t="s">
        <v>391</v>
      </c>
      <c r="L56" t="s">
        <v>391</v>
      </c>
      <c r="M56" t="s">
        <v>391</v>
      </c>
      <c r="N56" t="s">
        <v>391</v>
      </c>
    </row>
    <row r="57" spans="1:14" x14ac:dyDescent="0.25">
      <c r="A57" t="s">
        <v>332</v>
      </c>
      <c r="B57" t="s">
        <v>333</v>
      </c>
      <c r="C57">
        <v>1911.83</v>
      </c>
      <c r="D57" t="s">
        <v>444</v>
      </c>
      <c r="E57">
        <v>32.37</v>
      </c>
      <c r="F57">
        <v>241.05</v>
      </c>
      <c r="G57">
        <v>-0.7391</v>
      </c>
      <c r="H57">
        <v>-0.4088</v>
      </c>
      <c r="I57">
        <v>0.5354</v>
      </c>
      <c r="J57">
        <v>30</v>
      </c>
      <c r="K57" t="s">
        <v>391</v>
      </c>
      <c r="L57" t="s">
        <v>391</v>
      </c>
      <c r="M57" t="s">
        <v>337</v>
      </c>
      <c r="N57" t="s">
        <v>391</v>
      </c>
    </row>
    <row r="58" spans="1:14" x14ac:dyDescent="0.25">
      <c r="A58" t="s">
        <v>332</v>
      </c>
      <c r="B58" t="s">
        <v>333</v>
      </c>
      <c r="C58">
        <v>1912</v>
      </c>
      <c r="D58" t="s">
        <v>445</v>
      </c>
      <c r="E58">
        <v>30.62</v>
      </c>
      <c r="F58">
        <v>243.14</v>
      </c>
      <c r="G58">
        <v>-0.7678</v>
      </c>
      <c r="H58">
        <v>-0.3888</v>
      </c>
      <c r="I58">
        <v>0.5093</v>
      </c>
      <c r="J58">
        <v>30</v>
      </c>
      <c r="K58" t="s">
        <v>391</v>
      </c>
      <c r="L58" t="s">
        <v>391</v>
      </c>
      <c r="M58" t="s">
        <v>337</v>
      </c>
      <c r="N58" t="s">
        <v>391</v>
      </c>
    </row>
    <row r="59" spans="1:14" x14ac:dyDescent="0.25">
      <c r="A59" t="s">
        <v>332</v>
      </c>
      <c r="B59" t="s">
        <v>333</v>
      </c>
      <c r="C59">
        <v>1912.17</v>
      </c>
      <c r="D59" t="s">
        <v>446</v>
      </c>
      <c r="E59">
        <v>28.83</v>
      </c>
      <c r="F59">
        <v>245.16</v>
      </c>
      <c r="G59">
        <v>-0.795</v>
      </c>
      <c r="H59">
        <v>-0.3681</v>
      </c>
      <c r="I59">
        <v>0.4822</v>
      </c>
      <c r="J59">
        <v>30</v>
      </c>
      <c r="K59" t="s">
        <v>391</v>
      </c>
      <c r="L59" t="s">
        <v>391</v>
      </c>
      <c r="M59" t="s">
        <v>337</v>
      </c>
      <c r="N59" t="s">
        <v>391</v>
      </c>
    </row>
    <row r="60" spans="1:14" x14ac:dyDescent="0.25">
      <c r="A60" t="s">
        <v>332</v>
      </c>
      <c r="B60" t="s">
        <v>333</v>
      </c>
      <c r="C60">
        <v>1912.33</v>
      </c>
      <c r="D60" t="s">
        <v>447</v>
      </c>
      <c r="E60">
        <v>27.01</v>
      </c>
      <c r="F60">
        <v>247.1</v>
      </c>
      <c r="G60">
        <v>-0.8207</v>
      </c>
      <c r="H60">
        <v>-0.3466</v>
      </c>
      <c r="I60">
        <v>0.4542</v>
      </c>
      <c r="J60">
        <v>30</v>
      </c>
      <c r="K60" t="s">
        <v>391</v>
      </c>
      <c r="L60" t="s">
        <v>391</v>
      </c>
      <c r="M60" t="s">
        <v>337</v>
      </c>
      <c r="N60" t="s">
        <v>391</v>
      </c>
    </row>
    <row r="61" spans="1:14" x14ac:dyDescent="0.25">
      <c r="A61" t="s">
        <v>332</v>
      </c>
      <c r="B61" t="s">
        <v>333</v>
      </c>
      <c r="C61">
        <v>1912.5</v>
      </c>
      <c r="D61" t="s">
        <v>448</v>
      </c>
      <c r="E61">
        <v>25.17</v>
      </c>
      <c r="F61">
        <v>248.99</v>
      </c>
      <c r="G61">
        <v>-0.8448</v>
      </c>
      <c r="H61">
        <v>-0.3245</v>
      </c>
      <c r="I61">
        <v>0.4253</v>
      </c>
      <c r="J61">
        <v>30</v>
      </c>
      <c r="K61" t="s">
        <v>391</v>
      </c>
      <c r="L61" t="s">
        <v>391</v>
      </c>
      <c r="M61" t="s">
        <v>337</v>
      </c>
      <c r="N61" t="s">
        <v>391</v>
      </c>
    </row>
    <row r="62" spans="1:14" x14ac:dyDescent="0.25">
      <c r="A62" t="s">
        <v>332</v>
      </c>
      <c r="B62" t="s">
        <v>333</v>
      </c>
      <c r="C62">
        <v>1912.67</v>
      </c>
      <c r="D62" t="s">
        <v>449</v>
      </c>
      <c r="E62">
        <v>23.31</v>
      </c>
      <c r="F62">
        <v>250.81</v>
      </c>
      <c r="G62">
        <v>-0.8674</v>
      </c>
      <c r="H62">
        <v>-0.3018</v>
      </c>
      <c r="I62">
        <v>0.3957</v>
      </c>
      <c r="J62">
        <v>30</v>
      </c>
      <c r="K62" t="s">
        <v>391</v>
      </c>
      <c r="L62" t="s">
        <v>391</v>
      </c>
      <c r="M62" t="s">
        <v>337</v>
      </c>
      <c r="N62" t="s">
        <v>391</v>
      </c>
    </row>
    <row r="63" spans="1:14" x14ac:dyDescent="0.25">
      <c r="A63" t="s">
        <v>332</v>
      </c>
      <c r="B63" t="s">
        <v>333</v>
      </c>
      <c r="C63">
        <v>1912.83</v>
      </c>
      <c r="D63" t="s">
        <v>450</v>
      </c>
      <c r="E63">
        <v>21.42</v>
      </c>
      <c r="F63">
        <v>252.59</v>
      </c>
      <c r="G63">
        <v>-0.8883</v>
      </c>
      <c r="H63">
        <v>-0.2785</v>
      </c>
      <c r="I63">
        <v>0.3652</v>
      </c>
      <c r="J63">
        <v>30</v>
      </c>
      <c r="K63" t="s">
        <v>391</v>
      </c>
      <c r="L63" t="s">
        <v>391</v>
      </c>
      <c r="M63" t="s">
        <v>337</v>
      </c>
      <c r="N63" t="s">
        <v>391</v>
      </c>
    </row>
    <row r="64" spans="1:14" x14ac:dyDescent="0.25">
      <c r="A64" t="s">
        <v>332</v>
      </c>
      <c r="B64" t="s">
        <v>333</v>
      </c>
      <c r="C64">
        <v>1913</v>
      </c>
      <c r="D64" t="s">
        <v>451</v>
      </c>
      <c r="E64">
        <v>19.52</v>
      </c>
      <c r="F64">
        <v>254.32</v>
      </c>
      <c r="G64">
        <v>-0.9075</v>
      </c>
      <c r="H64">
        <v>-0.2547</v>
      </c>
      <c r="I64">
        <v>0.3341</v>
      </c>
      <c r="J64">
        <v>30</v>
      </c>
      <c r="K64" t="s">
        <v>391</v>
      </c>
      <c r="L64" t="s">
        <v>391</v>
      </c>
      <c r="M64" t="s">
        <v>337</v>
      </c>
      <c r="N64" t="s">
        <v>391</v>
      </c>
    </row>
    <row r="65" spans="1:14" x14ac:dyDescent="0.25">
      <c r="A65" t="s">
        <v>332</v>
      </c>
      <c r="B65" t="s">
        <v>333</v>
      </c>
      <c r="C65">
        <v>1913.17</v>
      </c>
      <c r="D65" t="s">
        <v>452</v>
      </c>
      <c r="E65">
        <v>17.6</v>
      </c>
      <c r="F65">
        <v>256.01</v>
      </c>
      <c r="G65">
        <v>-0.9249</v>
      </c>
      <c r="H65">
        <v>-0.2304</v>
      </c>
      <c r="I65">
        <v>0.3024</v>
      </c>
      <c r="J65">
        <v>30</v>
      </c>
      <c r="K65" t="s">
        <v>391</v>
      </c>
      <c r="L65" t="s">
        <v>391</v>
      </c>
      <c r="M65" t="s">
        <v>337</v>
      </c>
      <c r="N65" t="s">
        <v>391</v>
      </c>
    </row>
    <row r="66" spans="1:14" x14ac:dyDescent="0.25">
      <c r="A66" t="s">
        <v>332</v>
      </c>
      <c r="B66" t="s">
        <v>333</v>
      </c>
      <c r="C66">
        <v>1913.33</v>
      </c>
      <c r="D66" t="s">
        <v>453</v>
      </c>
      <c r="E66">
        <v>15.67</v>
      </c>
      <c r="F66">
        <v>257.67</v>
      </c>
      <c r="G66">
        <v>-0.9406</v>
      </c>
      <c r="H66">
        <v>-0.2057</v>
      </c>
      <c r="I66">
        <v>0.27</v>
      </c>
      <c r="J66">
        <v>30</v>
      </c>
      <c r="K66" t="s">
        <v>391</v>
      </c>
      <c r="L66" t="s">
        <v>391</v>
      </c>
      <c r="M66" t="s">
        <v>337</v>
      </c>
      <c r="N66" t="s">
        <v>391</v>
      </c>
    </row>
    <row r="67" spans="1:14" x14ac:dyDescent="0.25">
      <c r="A67" t="s">
        <v>332</v>
      </c>
      <c r="B67" t="s">
        <v>333</v>
      </c>
      <c r="C67">
        <v>1913.5</v>
      </c>
      <c r="D67" t="s">
        <v>454</v>
      </c>
      <c r="E67">
        <v>13.72</v>
      </c>
      <c r="F67">
        <v>259.29</v>
      </c>
      <c r="G67">
        <v>-0.9545</v>
      </c>
      <c r="H67">
        <v>-0.1805</v>
      </c>
      <c r="I67">
        <v>0.2372</v>
      </c>
      <c r="J67">
        <v>30</v>
      </c>
      <c r="K67" t="s">
        <v>391</v>
      </c>
      <c r="L67" t="s">
        <v>391</v>
      </c>
      <c r="M67" t="s">
        <v>337</v>
      </c>
      <c r="N67" t="s">
        <v>391</v>
      </c>
    </row>
    <row r="68" spans="1:14" x14ac:dyDescent="0.25">
      <c r="A68" t="s">
        <v>332</v>
      </c>
      <c r="B68" t="s">
        <v>333</v>
      </c>
      <c r="C68">
        <v>1913.67</v>
      </c>
      <c r="D68" t="s">
        <v>455</v>
      </c>
      <c r="E68">
        <v>11.76</v>
      </c>
      <c r="F68">
        <v>260.89</v>
      </c>
      <c r="G68">
        <v>-0.9666</v>
      </c>
      <c r="H68">
        <v>-0.155</v>
      </c>
      <c r="I68">
        <v>0.2039</v>
      </c>
      <c r="J68">
        <v>30</v>
      </c>
      <c r="K68" t="s">
        <v>391</v>
      </c>
      <c r="L68" t="s">
        <v>391</v>
      </c>
      <c r="M68" t="s">
        <v>337</v>
      </c>
      <c r="N68" t="s">
        <v>391</v>
      </c>
    </row>
    <row r="69" spans="1:14" x14ac:dyDescent="0.25">
      <c r="A69" t="s">
        <v>332</v>
      </c>
      <c r="B69" t="s">
        <v>333</v>
      </c>
      <c r="C69">
        <v>1913.83</v>
      </c>
      <c r="D69" t="s">
        <v>456</v>
      </c>
      <c r="E69">
        <v>9.8</v>
      </c>
      <c r="F69">
        <v>262.46</v>
      </c>
      <c r="G69">
        <v>-0.9769</v>
      </c>
      <c r="H69">
        <v>-0.1293</v>
      </c>
      <c r="I69">
        <v>0.1702</v>
      </c>
      <c r="J69">
        <v>30</v>
      </c>
      <c r="K69" t="s">
        <v>391</v>
      </c>
      <c r="L69" t="s">
        <v>391</v>
      </c>
      <c r="M69" t="s">
        <v>337</v>
      </c>
      <c r="N69" t="s">
        <v>391</v>
      </c>
    </row>
    <row r="70" spans="1:14" x14ac:dyDescent="0.25">
      <c r="A70" t="s">
        <v>332</v>
      </c>
      <c r="B70" t="s">
        <v>333</v>
      </c>
      <c r="C70">
        <v>1914</v>
      </c>
      <c r="D70" t="s">
        <v>365</v>
      </c>
      <c r="E70">
        <v>7.83</v>
      </c>
      <c r="F70">
        <v>264.02</v>
      </c>
      <c r="G70">
        <v>-0.9853</v>
      </c>
      <c r="H70">
        <v>-0.1032</v>
      </c>
      <c r="I70">
        <v>0.1362</v>
      </c>
      <c r="J70">
        <v>30</v>
      </c>
      <c r="K70" t="s">
        <v>391</v>
      </c>
      <c r="L70" t="s">
        <v>391</v>
      </c>
      <c r="M70" t="s">
        <v>337</v>
      </c>
      <c r="N70" t="s">
        <v>391</v>
      </c>
    </row>
    <row r="71" spans="1:14" x14ac:dyDescent="0.25">
      <c r="A71" t="s">
        <v>332</v>
      </c>
      <c r="B71" t="s">
        <v>333</v>
      </c>
      <c r="C71">
        <v>1914.17</v>
      </c>
      <c r="D71" t="s">
        <v>457</v>
      </c>
      <c r="E71">
        <v>5.85</v>
      </c>
      <c r="F71">
        <v>265.56</v>
      </c>
      <c r="G71">
        <v>-0.9918</v>
      </c>
      <c r="H71">
        <v>-0.077</v>
      </c>
      <c r="I71">
        <v>0.1019</v>
      </c>
      <c r="J71">
        <v>30</v>
      </c>
      <c r="K71" t="s">
        <v>391</v>
      </c>
      <c r="L71" t="s">
        <v>391</v>
      </c>
      <c r="M71" t="s">
        <v>337</v>
      </c>
      <c r="N71" t="s">
        <v>391</v>
      </c>
    </row>
    <row r="72" spans="1:14" x14ac:dyDescent="0.25">
      <c r="A72" t="s">
        <v>332</v>
      </c>
      <c r="B72" t="s">
        <v>333</v>
      </c>
      <c r="C72">
        <v>1914.33</v>
      </c>
      <c r="D72" t="s">
        <v>458</v>
      </c>
      <c r="E72">
        <v>3.87</v>
      </c>
      <c r="F72">
        <v>267.09</v>
      </c>
      <c r="G72">
        <v>-0.9964</v>
      </c>
      <c r="H72">
        <v>-0.0507</v>
      </c>
      <c r="I72">
        <v>0.0675</v>
      </c>
      <c r="J72">
        <v>30</v>
      </c>
      <c r="K72" t="s">
        <v>391</v>
      </c>
      <c r="L72" t="s">
        <v>391</v>
      </c>
      <c r="M72" t="s">
        <v>391</v>
      </c>
      <c r="N72" t="s">
        <v>391</v>
      </c>
    </row>
    <row r="73" spans="1:14" x14ac:dyDescent="0.25">
      <c r="A73" t="s">
        <v>332</v>
      </c>
      <c r="B73" t="s">
        <v>333</v>
      </c>
      <c r="C73">
        <v>1914.5</v>
      </c>
      <c r="D73" t="s">
        <v>459</v>
      </c>
      <c r="E73">
        <v>1.88</v>
      </c>
      <c r="F73">
        <v>268.61</v>
      </c>
      <c r="G73">
        <v>-0.9992</v>
      </c>
      <c r="H73">
        <v>-0.0242</v>
      </c>
      <c r="I73">
        <v>0.0329</v>
      </c>
      <c r="J73">
        <v>30</v>
      </c>
      <c r="K73" t="s">
        <v>391</v>
      </c>
      <c r="L73" t="s">
        <v>391</v>
      </c>
      <c r="M73" t="s">
        <v>391</v>
      </c>
      <c r="N73" t="s">
        <v>391</v>
      </c>
    </row>
    <row r="74" spans="1:14" x14ac:dyDescent="0.25">
      <c r="A74" t="s">
        <v>348</v>
      </c>
      <c r="B74" t="s">
        <v>349</v>
      </c>
      <c r="C74">
        <v>4109.33</v>
      </c>
      <c r="D74" t="s">
        <v>460</v>
      </c>
      <c r="E74">
        <v>0.78</v>
      </c>
      <c r="F74">
        <v>60.64</v>
      </c>
      <c r="G74">
        <v>0.8715</v>
      </c>
      <c r="H74">
        <v>0.4903</v>
      </c>
      <c r="I74">
        <v>0.0136</v>
      </c>
      <c r="J74">
        <v>60</v>
      </c>
      <c r="K74" t="s">
        <v>391</v>
      </c>
      <c r="L74" t="s">
        <v>391</v>
      </c>
      <c r="M74" t="s">
        <v>391</v>
      </c>
      <c r="N74" t="s">
        <v>391</v>
      </c>
    </row>
    <row r="75" spans="1:14" x14ac:dyDescent="0.25">
      <c r="A75" t="s">
        <v>348</v>
      </c>
      <c r="B75" t="s">
        <v>349</v>
      </c>
      <c r="C75">
        <v>4109.5</v>
      </c>
      <c r="D75" t="s">
        <v>461</v>
      </c>
      <c r="E75">
        <v>2.52</v>
      </c>
      <c r="F75">
        <v>62.13</v>
      </c>
      <c r="G75">
        <v>0.8831</v>
      </c>
      <c r="H75">
        <v>0.4671</v>
      </c>
      <c r="I75">
        <v>0.044</v>
      </c>
      <c r="J75">
        <v>60</v>
      </c>
      <c r="K75" t="s">
        <v>391</v>
      </c>
      <c r="L75" t="s">
        <v>391</v>
      </c>
      <c r="M75" t="s">
        <v>391</v>
      </c>
      <c r="N75" t="s">
        <v>391</v>
      </c>
    </row>
    <row r="76" spans="1:14" x14ac:dyDescent="0.25">
      <c r="A76" t="s">
        <v>348</v>
      </c>
      <c r="B76" t="s">
        <v>349</v>
      </c>
      <c r="C76">
        <v>4109.67</v>
      </c>
      <c r="D76" t="s">
        <v>462</v>
      </c>
      <c r="E76">
        <v>4.29</v>
      </c>
      <c r="F76">
        <v>63.59</v>
      </c>
      <c r="G76">
        <v>0.8931</v>
      </c>
      <c r="H76">
        <v>0.4435</v>
      </c>
      <c r="I76">
        <v>0.0748</v>
      </c>
      <c r="J76">
        <v>60</v>
      </c>
      <c r="K76" t="s">
        <v>391</v>
      </c>
      <c r="L76" t="s">
        <v>391</v>
      </c>
      <c r="M76" t="s">
        <v>391</v>
      </c>
      <c r="N76" t="s">
        <v>391</v>
      </c>
    </row>
    <row r="77" spans="1:14" x14ac:dyDescent="0.25">
      <c r="A77" t="s">
        <v>348</v>
      </c>
      <c r="B77" t="s">
        <v>349</v>
      </c>
      <c r="C77">
        <v>4109.83</v>
      </c>
      <c r="D77" t="s">
        <v>463</v>
      </c>
      <c r="E77">
        <v>6.08</v>
      </c>
      <c r="F77">
        <v>65.03</v>
      </c>
      <c r="G77">
        <v>0.9014</v>
      </c>
      <c r="H77">
        <v>0.4198</v>
      </c>
      <c r="I77">
        <v>0.1059</v>
      </c>
      <c r="J77">
        <v>60</v>
      </c>
      <c r="K77" t="s">
        <v>337</v>
      </c>
      <c r="L77" t="s">
        <v>391</v>
      </c>
      <c r="M77" t="s">
        <v>391</v>
      </c>
      <c r="N77" t="s">
        <v>391</v>
      </c>
    </row>
    <row r="78" spans="1:14" x14ac:dyDescent="0.25">
      <c r="A78" t="s">
        <v>348</v>
      </c>
      <c r="B78" t="s">
        <v>349</v>
      </c>
      <c r="C78">
        <v>4110</v>
      </c>
      <c r="D78" t="s">
        <v>464</v>
      </c>
      <c r="E78">
        <v>7.89</v>
      </c>
      <c r="F78">
        <v>66.45</v>
      </c>
      <c r="G78">
        <v>0.908</v>
      </c>
      <c r="H78">
        <v>0.3958</v>
      </c>
      <c r="I78">
        <v>0.1373</v>
      </c>
      <c r="J78">
        <v>60</v>
      </c>
      <c r="K78" t="s">
        <v>337</v>
      </c>
      <c r="L78" t="s">
        <v>391</v>
      </c>
      <c r="M78" t="s">
        <v>391</v>
      </c>
      <c r="N78" t="s">
        <v>391</v>
      </c>
    </row>
    <row r="79" spans="1:14" x14ac:dyDescent="0.25">
      <c r="A79" t="s">
        <v>348</v>
      </c>
      <c r="B79" t="s">
        <v>349</v>
      </c>
      <c r="C79">
        <v>4110.17</v>
      </c>
      <c r="D79" t="s">
        <v>465</v>
      </c>
      <c r="E79">
        <v>9.72</v>
      </c>
      <c r="F79">
        <v>67.84</v>
      </c>
      <c r="G79">
        <v>0.9128</v>
      </c>
      <c r="H79">
        <v>0.3717</v>
      </c>
      <c r="I79">
        <v>0.1689</v>
      </c>
      <c r="J79">
        <v>60</v>
      </c>
      <c r="K79" t="s">
        <v>337</v>
      </c>
      <c r="L79" t="s">
        <v>391</v>
      </c>
      <c r="M79" t="s">
        <v>391</v>
      </c>
      <c r="N79" t="s">
        <v>391</v>
      </c>
    </row>
    <row r="80" spans="1:14" x14ac:dyDescent="0.25">
      <c r="A80" t="s">
        <v>348</v>
      </c>
      <c r="B80" t="s">
        <v>349</v>
      </c>
      <c r="C80">
        <v>4110.33</v>
      </c>
      <c r="D80" t="s">
        <v>466</v>
      </c>
      <c r="E80">
        <v>11.57</v>
      </c>
      <c r="F80">
        <v>69.22</v>
      </c>
      <c r="G80">
        <v>0.916</v>
      </c>
      <c r="H80">
        <v>0.3475</v>
      </c>
      <c r="I80">
        <v>0.2006</v>
      </c>
      <c r="J80">
        <v>60</v>
      </c>
      <c r="K80" t="s">
        <v>337</v>
      </c>
      <c r="L80" t="s">
        <v>391</v>
      </c>
      <c r="M80" t="s">
        <v>391</v>
      </c>
      <c r="N80" t="s">
        <v>391</v>
      </c>
    </row>
    <row r="81" spans="1:14" x14ac:dyDescent="0.25">
      <c r="A81" t="s">
        <v>348</v>
      </c>
      <c r="B81" t="s">
        <v>349</v>
      </c>
      <c r="C81">
        <v>4110.5</v>
      </c>
      <c r="D81" t="s">
        <v>467</v>
      </c>
      <c r="E81">
        <v>13.44</v>
      </c>
      <c r="F81">
        <v>70.59</v>
      </c>
      <c r="G81">
        <v>0.9173</v>
      </c>
      <c r="H81">
        <v>0.3233</v>
      </c>
      <c r="I81">
        <v>0.2324</v>
      </c>
      <c r="J81">
        <v>60</v>
      </c>
      <c r="K81" t="s">
        <v>337</v>
      </c>
      <c r="L81" t="s">
        <v>391</v>
      </c>
      <c r="M81" t="s">
        <v>391</v>
      </c>
      <c r="N81" t="s">
        <v>391</v>
      </c>
    </row>
    <row r="82" spans="1:14" x14ac:dyDescent="0.25">
      <c r="A82" t="s">
        <v>348</v>
      </c>
      <c r="B82" t="s">
        <v>349</v>
      </c>
      <c r="C82">
        <v>4110.67</v>
      </c>
      <c r="D82" t="s">
        <v>338</v>
      </c>
      <c r="E82">
        <v>15.32</v>
      </c>
      <c r="F82">
        <v>71.94</v>
      </c>
      <c r="G82">
        <v>0.917</v>
      </c>
      <c r="H82">
        <v>0.299</v>
      </c>
      <c r="I82">
        <v>0.2642</v>
      </c>
      <c r="J82">
        <v>60</v>
      </c>
      <c r="K82" t="s">
        <v>337</v>
      </c>
      <c r="L82" t="s">
        <v>391</v>
      </c>
      <c r="M82" t="s">
        <v>391</v>
      </c>
      <c r="N82" t="s">
        <v>391</v>
      </c>
    </row>
    <row r="83" spans="1:14" x14ac:dyDescent="0.25">
      <c r="A83" t="s">
        <v>348</v>
      </c>
      <c r="B83" t="s">
        <v>349</v>
      </c>
      <c r="C83">
        <v>4110.83</v>
      </c>
      <c r="D83" t="s">
        <v>392</v>
      </c>
      <c r="E83">
        <v>17.22</v>
      </c>
      <c r="F83">
        <v>73.29</v>
      </c>
      <c r="G83">
        <v>0.9148</v>
      </c>
      <c r="H83">
        <v>0.2747</v>
      </c>
      <c r="I83">
        <v>0.296</v>
      </c>
      <c r="J83">
        <v>60</v>
      </c>
      <c r="K83" t="s">
        <v>337</v>
      </c>
      <c r="L83" t="s">
        <v>391</v>
      </c>
      <c r="M83" t="s">
        <v>391</v>
      </c>
      <c r="N83" t="s">
        <v>391</v>
      </c>
    </row>
    <row r="84" spans="1:14" x14ac:dyDescent="0.25">
      <c r="A84" t="s">
        <v>348</v>
      </c>
      <c r="B84" t="s">
        <v>349</v>
      </c>
      <c r="C84">
        <v>4111</v>
      </c>
      <c r="D84" t="s">
        <v>393</v>
      </c>
      <c r="E84">
        <v>19.12</v>
      </c>
      <c r="F84">
        <v>74.62</v>
      </c>
      <c r="G84">
        <v>0.911</v>
      </c>
      <c r="H84">
        <v>0.2506</v>
      </c>
      <c r="I84">
        <v>0.3276</v>
      </c>
      <c r="J84">
        <v>60</v>
      </c>
      <c r="K84" t="s">
        <v>337</v>
      </c>
      <c r="L84" t="s">
        <v>391</v>
      </c>
      <c r="M84" t="s">
        <v>391</v>
      </c>
      <c r="N84" t="s">
        <v>391</v>
      </c>
    </row>
    <row r="85" spans="1:14" x14ac:dyDescent="0.25">
      <c r="A85" t="s">
        <v>348</v>
      </c>
      <c r="B85" t="s">
        <v>349</v>
      </c>
      <c r="C85">
        <v>4111.17</v>
      </c>
      <c r="D85" t="s">
        <v>394</v>
      </c>
      <c r="E85">
        <v>21.05</v>
      </c>
      <c r="F85">
        <v>75.95</v>
      </c>
      <c r="G85">
        <v>0.9054</v>
      </c>
      <c r="H85">
        <v>0.2265</v>
      </c>
      <c r="I85">
        <v>0.3591</v>
      </c>
      <c r="J85">
        <v>60</v>
      </c>
      <c r="K85" t="s">
        <v>337</v>
      </c>
      <c r="L85" t="s">
        <v>391</v>
      </c>
      <c r="M85" t="s">
        <v>391</v>
      </c>
      <c r="N85" t="s">
        <v>391</v>
      </c>
    </row>
    <row r="86" spans="1:14" x14ac:dyDescent="0.25">
      <c r="A86" t="s">
        <v>348</v>
      </c>
      <c r="B86" t="s">
        <v>349</v>
      </c>
      <c r="C86">
        <v>4111.33</v>
      </c>
      <c r="D86" t="s">
        <v>395</v>
      </c>
      <c r="E86">
        <v>22.98</v>
      </c>
      <c r="F86">
        <v>77.29</v>
      </c>
      <c r="G86">
        <v>0.8981</v>
      </c>
      <c r="H86">
        <v>0.2026</v>
      </c>
      <c r="I86">
        <v>0.3904</v>
      </c>
      <c r="J86">
        <v>60</v>
      </c>
      <c r="K86" t="s">
        <v>337</v>
      </c>
      <c r="L86" t="s">
        <v>391</v>
      </c>
      <c r="M86" t="s">
        <v>391</v>
      </c>
      <c r="N86" t="s">
        <v>391</v>
      </c>
    </row>
    <row r="87" spans="1:14" x14ac:dyDescent="0.25">
      <c r="A87" t="s">
        <v>348</v>
      </c>
      <c r="B87" t="s">
        <v>349</v>
      </c>
      <c r="C87">
        <v>4111.5</v>
      </c>
      <c r="D87" t="s">
        <v>396</v>
      </c>
      <c r="E87">
        <v>24.92</v>
      </c>
      <c r="F87">
        <v>78.62</v>
      </c>
      <c r="G87">
        <v>0.889</v>
      </c>
      <c r="H87">
        <v>0.179</v>
      </c>
      <c r="I87">
        <v>0.4214</v>
      </c>
      <c r="J87">
        <v>60</v>
      </c>
      <c r="K87" t="s">
        <v>337</v>
      </c>
      <c r="L87" t="s">
        <v>391</v>
      </c>
      <c r="M87" t="s">
        <v>391</v>
      </c>
      <c r="N87" t="s">
        <v>391</v>
      </c>
    </row>
    <row r="88" spans="1:14" x14ac:dyDescent="0.25">
      <c r="A88" t="s">
        <v>348</v>
      </c>
      <c r="B88" t="s">
        <v>349</v>
      </c>
      <c r="C88">
        <v>4111.67</v>
      </c>
      <c r="D88" t="s">
        <v>397</v>
      </c>
      <c r="E88">
        <v>26.87</v>
      </c>
      <c r="F88">
        <v>79.96</v>
      </c>
      <c r="G88">
        <v>0.8783</v>
      </c>
      <c r="H88">
        <v>0.1556</v>
      </c>
      <c r="I88">
        <v>0.452</v>
      </c>
      <c r="J88">
        <v>60</v>
      </c>
      <c r="K88" t="s">
        <v>337</v>
      </c>
      <c r="L88" t="s">
        <v>391</v>
      </c>
      <c r="M88" t="s">
        <v>391</v>
      </c>
      <c r="N88" t="s">
        <v>391</v>
      </c>
    </row>
    <row r="89" spans="1:14" x14ac:dyDescent="0.25">
      <c r="A89" t="s">
        <v>348</v>
      </c>
      <c r="B89" t="s">
        <v>349</v>
      </c>
      <c r="C89">
        <v>4111.83</v>
      </c>
      <c r="D89" t="s">
        <v>398</v>
      </c>
      <c r="E89">
        <v>28.83</v>
      </c>
      <c r="F89">
        <v>81.3</v>
      </c>
      <c r="G89">
        <v>0.8659</v>
      </c>
      <c r="H89">
        <v>0.1325</v>
      </c>
      <c r="I89">
        <v>0.4823</v>
      </c>
      <c r="J89">
        <v>60</v>
      </c>
      <c r="K89" t="s">
        <v>337</v>
      </c>
      <c r="L89" t="s">
        <v>391</v>
      </c>
      <c r="M89" t="s">
        <v>391</v>
      </c>
      <c r="N89" t="s">
        <v>391</v>
      </c>
    </row>
    <row r="90" spans="1:14" x14ac:dyDescent="0.25">
      <c r="A90" t="s">
        <v>348</v>
      </c>
      <c r="B90" t="s">
        <v>349</v>
      </c>
      <c r="C90">
        <v>4112</v>
      </c>
      <c r="D90" t="s">
        <v>399</v>
      </c>
      <c r="E90">
        <v>30.8</v>
      </c>
      <c r="F90">
        <v>82.66</v>
      </c>
      <c r="G90">
        <v>0.8519</v>
      </c>
      <c r="H90">
        <v>0.1097</v>
      </c>
      <c r="I90">
        <v>0.5121</v>
      </c>
      <c r="J90">
        <v>60</v>
      </c>
      <c r="K90" t="s">
        <v>337</v>
      </c>
      <c r="L90" t="s">
        <v>391</v>
      </c>
      <c r="M90" t="s">
        <v>391</v>
      </c>
      <c r="N90" t="s">
        <v>391</v>
      </c>
    </row>
    <row r="91" spans="1:14" x14ac:dyDescent="0.25">
      <c r="A91" t="s">
        <v>348</v>
      </c>
      <c r="B91" t="s">
        <v>349</v>
      </c>
      <c r="C91">
        <v>4112.17</v>
      </c>
      <c r="D91" t="s">
        <v>400</v>
      </c>
      <c r="E91">
        <v>32.78</v>
      </c>
      <c r="F91">
        <v>84.03</v>
      </c>
      <c r="G91">
        <v>0.8362</v>
      </c>
      <c r="H91">
        <v>0.0874</v>
      </c>
      <c r="I91">
        <v>0.5414</v>
      </c>
      <c r="J91">
        <v>60</v>
      </c>
      <c r="K91" t="s">
        <v>337</v>
      </c>
      <c r="L91" t="s">
        <v>391</v>
      </c>
      <c r="M91" t="s">
        <v>391</v>
      </c>
      <c r="N91" t="s">
        <v>391</v>
      </c>
    </row>
    <row r="92" spans="1:14" x14ac:dyDescent="0.25">
      <c r="A92" t="s">
        <v>348</v>
      </c>
      <c r="B92" t="s">
        <v>349</v>
      </c>
      <c r="C92">
        <v>4112.33</v>
      </c>
      <c r="D92" t="s">
        <v>401</v>
      </c>
      <c r="E92">
        <v>34.75</v>
      </c>
      <c r="F92">
        <v>85.43</v>
      </c>
      <c r="G92">
        <v>0.819</v>
      </c>
      <c r="H92">
        <v>0.0655</v>
      </c>
      <c r="I92">
        <v>0.5701</v>
      </c>
      <c r="J92">
        <v>60</v>
      </c>
      <c r="K92" t="s">
        <v>337</v>
      </c>
      <c r="L92" t="s">
        <v>391</v>
      </c>
      <c r="M92" t="s">
        <v>391</v>
      </c>
      <c r="N92" t="s">
        <v>391</v>
      </c>
    </row>
    <row r="93" spans="1:14" x14ac:dyDescent="0.25">
      <c r="A93" t="s">
        <v>348</v>
      </c>
      <c r="B93" t="s">
        <v>349</v>
      </c>
      <c r="C93">
        <v>4112.5</v>
      </c>
      <c r="D93" t="s">
        <v>402</v>
      </c>
      <c r="E93">
        <v>36.74</v>
      </c>
      <c r="F93">
        <v>86.85</v>
      </c>
      <c r="G93">
        <v>0.8002</v>
      </c>
      <c r="H93">
        <v>0.0441</v>
      </c>
      <c r="I93">
        <v>0.5981</v>
      </c>
      <c r="J93">
        <v>60</v>
      </c>
      <c r="K93" t="s">
        <v>337</v>
      </c>
      <c r="L93" t="s">
        <v>391</v>
      </c>
      <c r="M93" t="s">
        <v>391</v>
      </c>
      <c r="N93" t="s">
        <v>391</v>
      </c>
    </row>
    <row r="94" spans="1:14" x14ac:dyDescent="0.25">
      <c r="A94" t="s">
        <v>348</v>
      </c>
      <c r="B94" t="s">
        <v>349</v>
      </c>
      <c r="C94">
        <v>4112.67</v>
      </c>
      <c r="D94" t="s">
        <v>403</v>
      </c>
      <c r="E94">
        <v>38.72</v>
      </c>
      <c r="F94">
        <v>88.3</v>
      </c>
      <c r="G94">
        <v>0.7799</v>
      </c>
      <c r="H94">
        <v>0.0231</v>
      </c>
      <c r="I94">
        <v>0.6255</v>
      </c>
      <c r="J94">
        <v>60</v>
      </c>
      <c r="K94" t="s">
        <v>337</v>
      </c>
      <c r="L94" t="s">
        <v>391</v>
      </c>
      <c r="M94" t="s">
        <v>391</v>
      </c>
      <c r="N94" t="s">
        <v>391</v>
      </c>
    </row>
    <row r="95" spans="1:14" x14ac:dyDescent="0.25">
      <c r="A95" t="s">
        <v>348</v>
      </c>
      <c r="B95" t="s">
        <v>349</v>
      </c>
      <c r="C95">
        <v>4112.83</v>
      </c>
      <c r="D95" t="s">
        <v>404</v>
      </c>
      <c r="E95">
        <v>40.71</v>
      </c>
      <c r="F95">
        <v>89.79</v>
      </c>
      <c r="G95">
        <v>0.758</v>
      </c>
      <c r="H95">
        <v>0.0028</v>
      </c>
      <c r="I95">
        <v>0.6522</v>
      </c>
      <c r="J95">
        <v>60</v>
      </c>
      <c r="K95" t="s">
        <v>337</v>
      </c>
      <c r="L95" t="s">
        <v>391</v>
      </c>
      <c r="M95" t="s">
        <v>391</v>
      </c>
      <c r="N95" t="s">
        <v>391</v>
      </c>
    </row>
    <row r="96" spans="1:14" x14ac:dyDescent="0.25">
      <c r="A96" t="s">
        <v>348</v>
      </c>
      <c r="B96" t="s">
        <v>349</v>
      </c>
      <c r="C96">
        <v>4113</v>
      </c>
      <c r="D96" t="s">
        <v>405</v>
      </c>
      <c r="E96">
        <v>42.69</v>
      </c>
      <c r="F96">
        <v>91.32</v>
      </c>
      <c r="G96">
        <v>0.7348</v>
      </c>
      <c r="H96">
        <v>-0.017</v>
      </c>
      <c r="I96">
        <v>0.6781</v>
      </c>
      <c r="J96">
        <v>60</v>
      </c>
      <c r="K96" t="s">
        <v>337</v>
      </c>
      <c r="L96" t="s">
        <v>391</v>
      </c>
      <c r="M96" t="s">
        <v>391</v>
      </c>
      <c r="N96" t="s">
        <v>391</v>
      </c>
    </row>
    <row r="97" spans="1:14" x14ac:dyDescent="0.25">
      <c r="A97" t="s">
        <v>348</v>
      </c>
      <c r="B97" t="s">
        <v>349</v>
      </c>
      <c r="C97">
        <v>4113.17</v>
      </c>
      <c r="D97" t="s">
        <v>406</v>
      </c>
      <c r="E97">
        <v>44.68</v>
      </c>
      <c r="F97">
        <v>92.91</v>
      </c>
      <c r="G97">
        <v>0.7101</v>
      </c>
      <c r="H97">
        <v>-0.0361</v>
      </c>
      <c r="I97">
        <v>0.7031</v>
      </c>
      <c r="J97">
        <v>60</v>
      </c>
      <c r="K97" t="s">
        <v>337</v>
      </c>
      <c r="L97" t="s">
        <v>391</v>
      </c>
      <c r="M97" t="s">
        <v>391</v>
      </c>
      <c r="N97" t="s">
        <v>391</v>
      </c>
    </row>
    <row r="98" spans="1:14" x14ac:dyDescent="0.25">
      <c r="A98" t="s">
        <v>348</v>
      </c>
      <c r="B98" t="s">
        <v>349</v>
      </c>
      <c r="C98">
        <v>4113.33</v>
      </c>
      <c r="D98" t="s">
        <v>407</v>
      </c>
      <c r="E98">
        <v>46.66</v>
      </c>
      <c r="F98">
        <v>94.56</v>
      </c>
      <c r="G98">
        <v>0.6841</v>
      </c>
      <c r="H98">
        <v>-0.0546</v>
      </c>
      <c r="I98">
        <v>0.7273</v>
      </c>
      <c r="J98">
        <v>60</v>
      </c>
      <c r="K98" t="s">
        <v>337</v>
      </c>
      <c r="L98" t="s">
        <v>391</v>
      </c>
      <c r="M98" t="s">
        <v>391</v>
      </c>
      <c r="N98" t="s">
        <v>391</v>
      </c>
    </row>
    <row r="99" spans="1:14" x14ac:dyDescent="0.25">
      <c r="A99" t="s">
        <v>348</v>
      </c>
      <c r="B99" t="s">
        <v>349</v>
      </c>
      <c r="C99">
        <v>4113.5</v>
      </c>
      <c r="D99" t="s">
        <v>408</v>
      </c>
      <c r="E99">
        <v>48.64</v>
      </c>
      <c r="F99">
        <v>96.28</v>
      </c>
      <c r="G99">
        <v>0.6568</v>
      </c>
      <c r="H99">
        <v>-0.0723</v>
      </c>
      <c r="I99">
        <v>0.7506</v>
      </c>
      <c r="J99">
        <v>60</v>
      </c>
      <c r="K99" t="s">
        <v>337</v>
      </c>
      <c r="L99" t="s">
        <v>391</v>
      </c>
      <c r="M99" t="s">
        <v>391</v>
      </c>
      <c r="N99" t="s">
        <v>391</v>
      </c>
    </row>
    <row r="100" spans="1:14" x14ac:dyDescent="0.25">
      <c r="A100" t="s">
        <v>348</v>
      </c>
      <c r="B100" t="s">
        <v>349</v>
      </c>
      <c r="C100">
        <v>4113.67</v>
      </c>
      <c r="D100" t="s">
        <v>409</v>
      </c>
      <c r="E100">
        <v>50.61</v>
      </c>
      <c r="F100">
        <v>98.09</v>
      </c>
      <c r="G100">
        <v>0.6283</v>
      </c>
      <c r="H100">
        <v>-0.0893</v>
      </c>
      <c r="I100">
        <v>0.7729</v>
      </c>
      <c r="J100">
        <v>60</v>
      </c>
      <c r="K100" t="s">
        <v>337</v>
      </c>
      <c r="L100" t="s">
        <v>391</v>
      </c>
      <c r="M100" t="s">
        <v>391</v>
      </c>
      <c r="N100" t="s">
        <v>391</v>
      </c>
    </row>
    <row r="101" spans="1:14" x14ac:dyDescent="0.25">
      <c r="A101" t="s">
        <v>348</v>
      </c>
      <c r="B101" t="s">
        <v>349</v>
      </c>
      <c r="C101">
        <v>4113.83</v>
      </c>
      <c r="D101" t="s">
        <v>410</v>
      </c>
      <c r="E101">
        <v>52.57</v>
      </c>
      <c r="F101">
        <v>100</v>
      </c>
      <c r="G101">
        <v>0.5985</v>
      </c>
      <c r="H101">
        <v>-0.1056</v>
      </c>
      <c r="I101">
        <v>0.7941</v>
      </c>
      <c r="J101">
        <v>60</v>
      </c>
      <c r="K101" t="s">
        <v>337</v>
      </c>
      <c r="L101" t="s">
        <v>391</v>
      </c>
      <c r="M101" t="s">
        <v>391</v>
      </c>
      <c r="N101" t="s">
        <v>391</v>
      </c>
    </row>
    <row r="102" spans="1:14" x14ac:dyDescent="0.25">
      <c r="A102" t="s">
        <v>348</v>
      </c>
      <c r="B102" t="s">
        <v>349</v>
      </c>
      <c r="C102">
        <v>4114</v>
      </c>
      <c r="D102" t="s">
        <v>411</v>
      </c>
      <c r="E102">
        <v>54.52</v>
      </c>
      <c r="F102">
        <v>102.03</v>
      </c>
      <c r="G102">
        <v>0.5676</v>
      </c>
      <c r="H102">
        <v>-0.121</v>
      </c>
      <c r="I102">
        <v>0.8144</v>
      </c>
      <c r="J102">
        <v>60</v>
      </c>
      <c r="K102" t="s">
        <v>337</v>
      </c>
      <c r="L102" t="s">
        <v>391</v>
      </c>
      <c r="M102" t="s">
        <v>391</v>
      </c>
      <c r="N102" t="s">
        <v>391</v>
      </c>
    </row>
    <row r="103" spans="1:14" x14ac:dyDescent="0.25">
      <c r="A103" t="s">
        <v>348</v>
      </c>
      <c r="B103" t="s">
        <v>349</v>
      </c>
      <c r="C103">
        <v>4114.17</v>
      </c>
      <c r="D103" t="s">
        <v>412</v>
      </c>
      <c r="E103">
        <v>56.46</v>
      </c>
      <c r="F103">
        <v>104.21</v>
      </c>
      <c r="G103">
        <v>0.5356</v>
      </c>
      <c r="H103">
        <v>-0.1356</v>
      </c>
      <c r="I103">
        <v>0.8335</v>
      </c>
      <c r="J103">
        <v>60</v>
      </c>
      <c r="K103" t="s">
        <v>337</v>
      </c>
      <c r="L103" t="s">
        <v>391</v>
      </c>
      <c r="M103" t="s">
        <v>391</v>
      </c>
      <c r="N103" t="s">
        <v>391</v>
      </c>
    </row>
    <row r="104" spans="1:14" x14ac:dyDescent="0.25">
      <c r="A104" t="s">
        <v>348</v>
      </c>
      <c r="B104" t="s">
        <v>349</v>
      </c>
      <c r="C104">
        <v>4114.33</v>
      </c>
      <c r="D104" t="s">
        <v>361</v>
      </c>
      <c r="E104">
        <v>58.37</v>
      </c>
      <c r="F104">
        <v>106.55</v>
      </c>
      <c r="G104">
        <v>0.5026</v>
      </c>
      <c r="H104">
        <v>-0.1494</v>
      </c>
      <c r="I104">
        <v>0.8515</v>
      </c>
      <c r="J104">
        <v>60</v>
      </c>
      <c r="K104" t="s">
        <v>337</v>
      </c>
      <c r="L104" t="s">
        <v>391</v>
      </c>
      <c r="M104" t="s">
        <v>391</v>
      </c>
      <c r="N104" t="s">
        <v>391</v>
      </c>
    </row>
    <row r="105" spans="1:14" x14ac:dyDescent="0.25">
      <c r="A105" t="s">
        <v>348</v>
      </c>
      <c r="B105" t="s">
        <v>349</v>
      </c>
      <c r="C105">
        <v>4114.5</v>
      </c>
      <c r="D105" t="s">
        <v>413</v>
      </c>
      <c r="E105">
        <v>60.27</v>
      </c>
      <c r="F105">
        <v>109.09</v>
      </c>
      <c r="G105">
        <v>0.4687</v>
      </c>
      <c r="H105">
        <v>-0.1622</v>
      </c>
      <c r="I105">
        <v>0.8683</v>
      </c>
      <c r="J105">
        <v>60</v>
      </c>
      <c r="K105" t="s">
        <v>337</v>
      </c>
      <c r="L105" t="s">
        <v>391</v>
      </c>
      <c r="M105" t="s">
        <v>391</v>
      </c>
      <c r="N105" t="s">
        <v>391</v>
      </c>
    </row>
    <row r="106" spans="1:14" x14ac:dyDescent="0.25">
      <c r="A106" t="s">
        <v>348</v>
      </c>
      <c r="B106" t="s">
        <v>349</v>
      </c>
      <c r="C106">
        <v>4114.67</v>
      </c>
      <c r="D106" t="s">
        <v>414</v>
      </c>
      <c r="E106">
        <v>62.13</v>
      </c>
      <c r="F106">
        <v>111.87</v>
      </c>
      <c r="G106">
        <v>0.4339</v>
      </c>
      <c r="H106">
        <v>-0.1742</v>
      </c>
      <c r="I106">
        <v>0.884</v>
      </c>
      <c r="J106">
        <v>60</v>
      </c>
      <c r="K106" t="s">
        <v>337</v>
      </c>
      <c r="L106" t="s">
        <v>391</v>
      </c>
      <c r="M106" t="s">
        <v>391</v>
      </c>
      <c r="N106" t="s">
        <v>391</v>
      </c>
    </row>
    <row r="107" spans="1:14" x14ac:dyDescent="0.25">
      <c r="A107" t="s">
        <v>348</v>
      </c>
      <c r="B107" t="s">
        <v>349</v>
      </c>
      <c r="C107">
        <v>4114.83</v>
      </c>
      <c r="D107" t="s">
        <v>415</v>
      </c>
      <c r="E107">
        <v>63.95</v>
      </c>
      <c r="F107">
        <v>114.94</v>
      </c>
      <c r="G107">
        <v>0.3982</v>
      </c>
      <c r="H107">
        <v>-0.1852</v>
      </c>
      <c r="I107">
        <v>0.8984</v>
      </c>
      <c r="J107">
        <v>60</v>
      </c>
      <c r="K107" t="s">
        <v>337</v>
      </c>
      <c r="L107" t="s">
        <v>391</v>
      </c>
      <c r="M107" t="s">
        <v>391</v>
      </c>
      <c r="N107" t="s">
        <v>391</v>
      </c>
    </row>
    <row r="108" spans="1:14" x14ac:dyDescent="0.25">
      <c r="A108" t="s">
        <v>348</v>
      </c>
      <c r="B108" t="s">
        <v>349</v>
      </c>
      <c r="C108">
        <v>4115</v>
      </c>
      <c r="D108" t="s">
        <v>416</v>
      </c>
      <c r="E108">
        <v>65.73</v>
      </c>
      <c r="F108">
        <v>118.36</v>
      </c>
      <c r="G108">
        <v>0.3618</v>
      </c>
      <c r="H108">
        <v>-0.1952</v>
      </c>
      <c r="I108">
        <v>0.9116</v>
      </c>
      <c r="J108">
        <v>60</v>
      </c>
      <c r="K108" t="s">
        <v>337</v>
      </c>
      <c r="L108" t="s">
        <v>391</v>
      </c>
      <c r="M108" t="s">
        <v>391</v>
      </c>
      <c r="N108" t="s">
        <v>391</v>
      </c>
    </row>
    <row r="109" spans="1:14" x14ac:dyDescent="0.25">
      <c r="A109" t="s">
        <v>348</v>
      </c>
      <c r="B109" t="s">
        <v>349</v>
      </c>
      <c r="C109">
        <v>4115.17</v>
      </c>
      <c r="D109" t="s">
        <v>417</v>
      </c>
      <c r="E109">
        <v>67.44</v>
      </c>
      <c r="F109">
        <v>122.19</v>
      </c>
      <c r="G109">
        <v>0.3247</v>
      </c>
      <c r="H109">
        <v>-0.2043</v>
      </c>
      <c r="I109">
        <v>0.9235</v>
      </c>
      <c r="J109">
        <v>60</v>
      </c>
      <c r="K109" t="s">
        <v>337</v>
      </c>
      <c r="L109" t="s">
        <v>337</v>
      </c>
      <c r="M109" t="s">
        <v>391</v>
      </c>
      <c r="N109" t="s">
        <v>391</v>
      </c>
    </row>
    <row r="110" spans="1:14" x14ac:dyDescent="0.25">
      <c r="A110" t="s">
        <v>348</v>
      </c>
      <c r="B110" t="s">
        <v>349</v>
      </c>
      <c r="C110">
        <v>4115.33</v>
      </c>
      <c r="D110" t="s">
        <v>418</v>
      </c>
      <c r="E110">
        <v>69.08</v>
      </c>
      <c r="F110">
        <v>126.51</v>
      </c>
      <c r="G110">
        <v>0.2869</v>
      </c>
      <c r="H110">
        <v>-0.2124</v>
      </c>
      <c r="I110">
        <v>0.9341</v>
      </c>
      <c r="J110">
        <v>60</v>
      </c>
      <c r="K110" t="s">
        <v>337</v>
      </c>
      <c r="L110" t="s">
        <v>337</v>
      </c>
      <c r="M110" t="s">
        <v>391</v>
      </c>
      <c r="N110" t="s">
        <v>391</v>
      </c>
    </row>
    <row r="111" spans="1:14" x14ac:dyDescent="0.25">
      <c r="A111" t="s">
        <v>348</v>
      </c>
      <c r="B111" t="s">
        <v>349</v>
      </c>
      <c r="C111">
        <v>4115.5</v>
      </c>
      <c r="D111" t="s">
        <v>419</v>
      </c>
      <c r="E111">
        <v>70.63</v>
      </c>
      <c r="F111">
        <v>131.44</v>
      </c>
      <c r="G111">
        <v>0.2486</v>
      </c>
      <c r="H111">
        <v>-0.2195</v>
      </c>
      <c r="I111">
        <v>0.9434</v>
      </c>
      <c r="J111">
        <v>60</v>
      </c>
      <c r="K111" t="s">
        <v>337</v>
      </c>
      <c r="L111" t="s">
        <v>337</v>
      </c>
      <c r="M111" t="s">
        <v>391</v>
      </c>
      <c r="N111" t="s">
        <v>391</v>
      </c>
    </row>
    <row r="112" spans="1:14" x14ac:dyDescent="0.25">
      <c r="A112" t="s">
        <v>348</v>
      </c>
      <c r="B112" t="s">
        <v>349</v>
      </c>
      <c r="C112">
        <v>4115.67</v>
      </c>
      <c r="D112" t="s">
        <v>420</v>
      </c>
      <c r="E112">
        <v>72.05</v>
      </c>
      <c r="F112">
        <v>137.06</v>
      </c>
      <c r="G112">
        <v>0.2099</v>
      </c>
      <c r="H112">
        <v>-0.2256</v>
      </c>
      <c r="I112">
        <v>0.9513</v>
      </c>
      <c r="J112">
        <v>60</v>
      </c>
      <c r="K112" t="s">
        <v>337</v>
      </c>
      <c r="L112" t="s">
        <v>337</v>
      </c>
      <c r="M112" t="s">
        <v>391</v>
      </c>
      <c r="N112" t="s">
        <v>391</v>
      </c>
    </row>
    <row r="113" spans="1:14" x14ac:dyDescent="0.25">
      <c r="A113" t="s">
        <v>348</v>
      </c>
      <c r="B113" t="s">
        <v>349</v>
      </c>
      <c r="C113">
        <v>4115.83</v>
      </c>
      <c r="D113" t="s">
        <v>421</v>
      </c>
      <c r="E113">
        <v>73.32</v>
      </c>
      <c r="F113">
        <v>143.48</v>
      </c>
      <c r="G113">
        <v>0.1707</v>
      </c>
      <c r="H113">
        <v>-0.2306</v>
      </c>
      <c r="I113">
        <v>0.9579</v>
      </c>
      <c r="J113">
        <v>60</v>
      </c>
      <c r="K113" t="s">
        <v>337</v>
      </c>
      <c r="L113" t="s">
        <v>337</v>
      </c>
      <c r="M113" t="s">
        <v>391</v>
      </c>
      <c r="N113" t="s">
        <v>391</v>
      </c>
    </row>
    <row r="114" spans="1:14" x14ac:dyDescent="0.25">
      <c r="A114" t="s">
        <v>348</v>
      </c>
      <c r="B114" t="s">
        <v>349</v>
      </c>
      <c r="C114">
        <v>4116</v>
      </c>
      <c r="D114" t="s">
        <v>422</v>
      </c>
      <c r="E114">
        <v>74.4</v>
      </c>
      <c r="F114">
        <v>150.77</v>
      </c>
      <c r="G114">
        <v>0.1313</v>
      </c>
      <c r="H114">
        <v>-0.2346</v>
      </c>
      <c r="I114">
        <v>0.9632</v>
      </c>
      <c r="J114">
        <v>60</v>
      </c>
      <c r="K114" t="s">
        <v>391</v>
      </c>
      <c r="L114" t="s">
        <v>337</v>
      </c>
      <c r="M114" t="s">
        <v>391</v>
      </c>
      <c r="N114" t="s">
        <v>391</v>
      </c>
    </row>
    <row r="115" spans="1:14" x14ac:dyDescent="0.25">
      <c r="A115" t="s">
        <v>348</v>
      </c>
      <c r="B115" t="s">
        <v>349</v>
      </c>
      <c r="C115">
        <v>4116.17</v>
      </c>
      <c r="D115" t="s">
        <v>423</v>
      </c>
      <c r="E115">
        <v>75.25</v>
      </c>
      <c r="F115">
        <v>158.92</v>
      </c>
      <c r="G115">
        <v>0.0915</v>
      </c>
      <c r="H115">
        <v>-0.2376</v>
      </c>
      <c r="I115">
        <v>0.967</v>
      </c>
      <c r="J115">
        <v>60</v>
      </c>
      <c r="K115" t="s">
        <v>391</v>
      </c>
      <c r="L115" t="s">
        <v>337</v>
      </c>
      <c r="M115" t="s">
        <v>391</v>
      </c>
      <c r="N115" t="s">
        <v>391</v>
      </c>
    </row>
    <row r="116" spans="1:14" x14ac:dyDescent="0.25">
      <c r="A116" t="s">
        <v>348</v>
      </c>
      <c r="B116" t="s">
        <v>349</v>
      </c>
      <c r="C116">
        <v>4116.33</v>
      </c>
      <c r="D116" t="s">
        <v>424</v>
      </c>
      <c r="E116">
        <v>75.82</v>
      </c>
      <c r="F116">
        <v>167.83</v>
      </c>
      <c r="G116">
        <v>0.0517</v>
      </c>
      <c r="H116">
        <v>-0.2395</v>
      </c>
      <c r="I116">
        <v>0.9695</v>
      </c>
      <c r="J116">
        <v>60</v>
      </c>
      <c r="K116" t="s">
        <v>391</v>
      </c>
      <c r="L116" t="s">
        <v>337</v>
      </c>
      <c r="M116" t="s">
        <v>391</v>
      </c>
      <c r="N116" t="s">
        <v>391</v>
      </c>
    </row>
    <row r="117" spans="1:14" x14ac:dyDescent="0.25">
      <c r="A117" t="s">
        <v>348</v>
      </c>
      <c r="B117" t="s">
        <v>349</v>
      </c>
      <c r="C117">
        <v>4116.5</v>
      </c>
      <c r="D117" t="s">
        <v>425</v>
      </c>
      <c r="E117">
        <v>76.08</v>
      </c>
      <c r="F117">
        <v>177.22</v>
      </c>
      <c r="G117">
        <v>0.0117</v>
      </c>
      <c r="H117">
        <v>-0.2403</v>
      </c>
      <c r="I117">
        <v>0.9706</v>
      </c>
      <c r="J117">
        <v>60</v>
      </c>
      <c r="K117" t="s">
        <v>391</v>
      </c>
      <c r="L117" t="s">
        <v>337</v>
      </c>
      <c r="M117" t="s">
        <v>391</v>
      </c>
      <c r="N117" t="s">
        <v>391</v>
      </c>
    </row>
    <row r="118" spans="1:14" x14ac:dyDescent="0.25">
      <c r="A118" t="s">
        <v>348</v>
      </c>
      <c r="B118" t="s">
        <v>349</v>
      </c>
      <c r="C118">
        <v>4116.67</v>
      </c>
      <c r="D118" t="s">
        <v>426</v>
      </c>
      <c r="E118">
        <v>76.01</v>
      </c>
      <c r="F118">
        <v>186.74</v>
      </c>
      <c r="G118">
        <v>-0.0284</v>
      </c>
      <c r="H118">
        <v>-0.2401</v>
      </c>
      <c r="I118">
        <v>0.9703</v>
      </c>
      <c r="J118">
        <v>60</v>
      </c>
      <c r="K118" t="s">
        <v>391</v>
      </c>
      <c r="L118" t="s">
        <v>337</v>
      </c>
      <c r="M118" t="s">
        <v>391</v>
      </c>
      <c r="N118" t="s">
        <v>391</v>
      </c>
    </row>
    <row r="119" spans="1:14" x14ac:dyDescent="0.25">
      <c r="A119" t="s">
        <v>348</v>
      </c>
      <c r="B119" t="s">
        <v>349</v>
      </c>
      <c r="C119">
        <v>4116.83</v>
      </c>
      <c r="D119" t="s">
        <v>427</v>
      </c>
      <c r="E119">
        <v>75.62</v>
      </c>
      <c r="F119">
        <v>195.97</v>
      </c>
      <c r="G119">
        <v>-0.0683</v>
      </c>
      <c r="H119">
        <v>-0.2388</v>
      </c>
      <c r="I119">
        <v>0.9687</v>
      </c>
      <c r="J119">
        <v>60</v>
      </c>
      <c r="K119" t="s">
        <v>391</v>
      </c>
      <c r="L119" t="s">
        <v>337</v>
      </c>
      <c r="M119" t="s">
        <v>391</v>
      </c>
      <c r="N119" t="s">
        <v>391</v>
      </c>
    </row>
    <row r="120" spans="1:14" x14ac:dyDescent="0.25">
      <c r="A120" t="s">
        <v>348</v>
      </c>
      <c r="B120" t="s">
        <v>349</v>
      </c>
      <c r="C120">
        <v>4117</v>
      </c>
      <c r="D120" t="s">
        <v>428</v>
      </c>
      <c r="E120">
        <v>74.93</v>
      </c>
      <c r="F120">
        <v>204.58</v>
      </c>
      <c r="G120">
        <v>-0.1082</v>
      </c>
      <c r="H120">
        <v>-0.2365</v>
      </c>
      <c r="I120">
        <v>0.9656</v>
      </c>
      <c r="J120">
        <v>60</v>
      </c>
      <c r="K120" t="s">
        <v>391</v>
      </c>
      <c r="L120" t="s">
        <v>337</v>
      </c>
      <c r="M120" t="s">
        <v>391</v>
      </c>
      <c r="N120" t="s">
        <v>391</v>
      </c>
    </row>
    <row r="121" spans="1:14" x14ac:dyDescent="0.25">
      <c r="A121" t="s">
        <v>348</v>
      </c>
      <c r="B121" t="s">
        <v>349</v>
      </c>
      <c r="C121">
        <v>4117.17</v>
      </c>
      <c r="D121" t="s">
        <v>429</v>
      </c>
      <c r="E121">
        <v>73.98</v>
      </c>
      <c r="F121">
        <v>212.38</v>
      </c>
      <c r="G121">
        <v>-0.1478</v>
      </c>
      <c r="H121">
        <v>-0.2331</v>
      </c>
      <c r="I121">
        <v>0.9612</v>
      </c>
      <c r="J121">
        <v>60</v>
      </c>
      <c r="K121" t="s">
        <v>391</v>
      </c>
      <c r="L121" t="s">
        <v>337</v>
      </c>
      <c r="M121" t="s">
        <v>337</v>
      </c>
      <c r="N121" t="s">
        <v>391</v>
      </c>
    </row>
    <row r="122" spans="1:14" x14ac:dyDescent="0.25">
      <c r="A122" t="s">
        <v>348</v>
      </c>
      <c r="B122" t="s">
        <v>349</v>
      </c>
      <c r="C122">
        <v>4117.33</v>
      </c>
      <c r="D122" t="s">
        <v>430</v>
      </c>
      <c r="E122">
        <v>72.82</v>
      </c>
      <c r="F122">
        <v>219.3</v>
      </c>
      <c r="G122">
        <v>-0.1871</v>
      </c>
      <c r="H122">
        <v>-0.2286</v>
      </c>
      <c r="I122">
        <v>0.9554</v>
      </c>
      <c r="J122">
        <v>60</v>
      </c>
      <c r="K122" t="s">
        <v>391</v>
      </c>
      <c r="L122" t="s">
        <v>337</v>
      </c>
      <c r="M122" t="s">
        <v>337</v>
      </c>
      <c r="N122" t="s">
        <v>391</v>
      </c>
    </row>
    <row r="123" spans="1:14" x14ac:dyDescent="0.25">
      <c r="A123" t="s">
        <v>348</v>
      </c>
      <c r="B123" t="s">
        <v>349</v>
      </c>
      <c r="C123">
        <v>4117.5</v>
      </c>
      <c r="D123" t="s">
        <v>431</v>
      </c>
      <c r="E123">
        <v>71.48</v>
      </c>
      <c r="F123">
        <v>225.38</v>
      </c>
      <c r="G123">
        <v>-0.2261</v>
      </c>
      <c r="H123">
        <v>-0.2232</v>
      </c>
      <c r="I123">
        <v>0.9482</v>
      </c>
      <c r="J123">
        <v>60</v>
      </c>
      <c r="K123" t="s">
        <v>391</v>
      </c>
      <c r="L123" t="s">
        <v>337</v>
      </c>
      <c r="M123" t="s">
        <v>337</v>
      </c>
      <c r="N123" t="s">
        <v>391</v>
      </c>
    </row>
    <row r="124" spans="1:14" x14ac:dyDescent="0.25">
      <c r="A124" t="s">
        <v>348</v>
      </c>
      <c r="B124" t="s">
        <v>349</v>
      </c>
      <c r="C124">
        <v>4117.67</v>
      </c>
      <c r="D124" t="s">
        <v>432</v>
      </c>
      <c r="E124">
        <v>70</v>
      </c>
      <c r="F124">
        <v>230.7</v>
      </c>
      <c r="G124">
        <v>-0.2647</v>
      </c>
      <c r="H124">
        <v>-0.2167</v>
      </c>
      <c r="I124">
        <v>0.9397</v>
      </c>
      <c r="J124">
        <v>60</v>
      </c>
      <c r="K124" t="s">
        <v>391</v>
      </c>
      <c r="L124" t="s">
        <v>337</v>
      </c>
      <c r="M124" t="s">
        <v>337</v>
      </c>
      <c r="N124" t="s">
        <v>391</v>
      </c>
    </row>
    <row r="125" spans="1:14" x14ac:dyDescent="0.25">
      <c r="A125" t="s">
        <v>348</v>
      </c>
      <c r="B125" t="s">
        <v>349</v>
      </c>
      <c r="C125">
        <v>4117.83</v>
      </c>
      <c r="D125" t="s">
        <v>433</v>
      </c>
      <c r="E125">
        <v>68.41</v>
      </c>
      <c r="F125">
        <v>235.36</v>
      </c>
      <c r="G125">
        <v>-0.3027</v>
      </c>
      <c r="H125">
        <v>-0.2092</v>
      </c>
      <c r="I125">
        <v>0.9298</v>
      </c>
      <c r="J125">
        <v>60</v>
      </c>
      <c r="K125" t="s">
        <v>391</v>
      </c>
      <c r="L125" t="s">
        <v>337</v>
      </c>
      <c r="M125" t="s">
        <v>337</v>
      </c>
      <c r="N125" t="s">
        <v>391</v>
      </c>
    </row>
    <row r="126" spans="1:14" x14ac:dyDescent="0.25">
      <c r="A126" t="s">
        <v>348</v>
      </c>
      <c r="B126" t="s">
        <v>349</v>
      </c>
      <c r="C126">
        <v>4118</v>
      </c>
      <c r="D126" t="s">
        <v>434</v>
      </c>
      <c r="E126">
        <v>66.74</v>
      </c>
      <c r="F126">
        <v>239.47</v>
      </c>
      <c r="G126">
        <v>-0.3402</v>
      </c>
      <c r="H126">
        <v>-0.2006</v>
      </c>
      <c r="I126">
        <v>0.9187</v>
      </c>
      <c r="J126">
        <v>60</v>
      </c>
      <c r="K126" t="s">
        <v>391</v>
      </c>
      <c r="L126" t="s">
        <v>337</v>
      </c>
      <c r="M126" t="s">
        <v>337</v>
      </c>
      <c r="N126" t="s">
        <v>391</v>
      </c>
    </row>
    <row r="127" spans="1:14" x14ac:dyDescent="0.25">
      <c r="A127" t="s">
        <v>348</v>
      </c>
      <c r="B127" t="s">
        <v>349</v>
      </c>
      <c r="C127">
        <v>4118.17</v>
      </c>
      <c r="D127" t="s">
        <v>435</v>
      </c>
      <c r="E127">
        <v>64.99</v>
      </c>
      <c r="F127">
        <v>243.12</v>
      </c>
      <c r="G127">
        <v>-0.3771</v>
      </c>
      <c r="H127">
        <v>-0.1911</v>
      </c>
      <c r="I127">
        <v>0.9063</v>
      </c>
      <c r="J127">
        <v>60</v>
      </c>
      <c r="K127" t="s">
        <v>391</v>
      </c>
      <c r="L127" t="s">
        <v>391</v>
      </c>
      <c r="M127" t="s">
        <v>337</v>
      </c>
      <c r="N127" t="s">
        <v>391</v>
      </c>
    </row>
    <row r="128" spans="1:14" x14ac:dyDescent="0.25">
      <c r="A128" t="s">
        <v>348</v>
      </c>
      <c r="B128" t="s">
        <v>349</v>
      </c>
      <c r="C128">
        <v>4118.33</v>
      </c>
      <c r="D128" t="s">
        <v>436</v>
      </c>
      <c r="E128">
        <v>63.2</v>
      </c>
      <c r="F128">
        <v>246.38</v>
      </c>
      <c r="G128">
        <v>-0.4132</v>
      </c>
      <c r="H128">
        <v>-0.1807</v>
      </c>
      <c r="I128">
        <v>0.8926</v>
      </c>
      <c r="J128">
        <v>60</v>
      </c>
      <c r="K128" t="s">
        <v>391</v>
      </c>
      <c r="L128" t="s">
        <v>391</v>
      </c>
      <c r="M128" t="s">
        <v>337</v>
      </c>
      <c r="N128" t="s">
        <v>391</v>
      </c>
    </row>
    <row r="129" spans="1:14" x14ac:dyDescent="0.25">
      <c r="A129" t="s">
        <v>348</v>
      </c>
      <c r="B129" t="s">
        <v>349</v>
      </c>
      <c r="C129">
        <v>4118.5</v>
      </c>
      <c r="D129" t="s">
        <v>371</v>
      </c>
      <c r="E129">
        <v>61.36</v>
      </c>
      <c r="F129">
        <v>249.32</v>
      </c>
      <c r="G129">
        <v>-0.4485</v>
      </c>
      <c r="H129">
        <v>-0.1693</v>
      </c>
      <c r="I129">
        <v>0.8776</v>
      </c>
      <c r="J129">
        <v>60</v>
      </c>
      <c r="K129" t="s">
        <v>391</v>
      </c>
      <c r="L129" t="s">
        <v>391</v>
      </c>
      <c r="M129" t="s">
        <v>337</v>
      </c>
      <c r="N129" t="s">
        <v>391</v>
      </c>
    </row>
    <row r="130" spans="1:14" x14ac:dyDescent="0.25">
      <c r="A130" t="s">
        <v>348</v>
      </c>
      <c r="B130" t="s">
        <v>349</v>
      </c>
      <c r="C130">
        <v>4118.67</v>
      </c>
      <c r="D130" t="s">
        <v>437</v>
      </c>
      <c r="E130">
        <v>59.48</v>
      </c>
      <c r="F130">
        <v>252</v>
      </c>
      <c r="G130">
        <v>-0.483</v>
      </c>
      <c r="H130">
        <v>-0.1569</v>
      </c>
      <c r="I130">
        <v>0.8615</v>
      </c>
      <c r="J130">
        <v>60</v>
      </c>
      <c r="K130" t="s">
        <v>391</v>
      </c>
      <c r="L130" t="s">
        <v>391</v>
      </c>
      <c r="M130" t="s">
        <v>337</v>
      </c>
      <c r="N130" t="s">
        <v>391</v>
      </c>
    </row>
    <row r="131" spans="1:14" x14ac:dyDescent="0.25">
      <c r="A131" t="s">
        <v>348</v>
      </c>
      <c r="B131" t="s">
        <v>349</v>
      </c>
      <c r="C131">
        <v>4118.83</v>
      </c>
      <c r="D131" t="s">
        <v>438</v>
      </c>
      <c r="E131">
        <v>57.58</v>
      </c>
      <c r="F131">
        <v>254.45</v>
      </c>
      <c r="G131">
        <v>-0.5165</v>
      </c>
      <c r="H131">
        <v>-0.1437</v>
      </c>
      <c r="I131">
        <v>0.8441</v>
      </c>
      <c r="J131">
        <v>60</v>
      </c>
      <c r="K131" t="s">
        <v>391</v>
      </c>
      <c r="L131" t="s">
        <v>391</v>
      </c>
      <c r="M131" t="s">
        <v>337</v>
      </c>
      <c r="N131" t="s">
        <v>391</v>
      </c>
    </row>
    <row r="132" spans="1:14" x14ac:dyDescent="0.25">
      <c r="A132" t="s">
        <v>348</v>
      </c>
      <c r="B132" t="s">
        <v>349</v>
      </c>
      <c r="C132">
        <v>4119</v>
      </c>
      <c r="D132" t="s">
        <v>439</v>
      </c>
      <c r="E132">
        <v>55.65</v>
      </c>
      <c r="F132">
        <v>256.72</v>
      </c>
      <c r="G132">
        <v>-0.5491</v>
      </c>
      <c r="H132">
        <v>-0.1296</v>
      </c>
      <c r="I132">
        <v>0.8256</v>
      </c>
      <c r="J132">
        <v>60</v>
      </c>
      <c r="K132" t="s">
        <v>391</v>
      </c>
      <c r="L132" t="s">
        <v>391</v>
      </c>
      <c r="M132" t="s">
        <v>337</v>
      </c>
      <c r="N132" t="s">
        <v>391</v>
      </c>
    </row>
    <row r="133" spans="1:14" x14ac:dyDescent="0.25">
      <c r="A133" t="s">
        <v>348</v>
      </c>
      <c r="B133" t="s">
        <v>349</v>
      </c>
      <c r="C133">
        <v>4119.17</v>
      </c>
      <c r="D133" t="s">
        <v>440</v>
      </c>
      <c r="E133">
        <v>53.71</v>
      </c>
      <c r="F133">
        <v>258.83</v>
      </c>
      <c r="G133">
        <v>-0.5806</v>
      </c>
      <c r="H133">
        <v>-0.1146</v>
      </c>
      <c r="I133">
        <v>0.8061</v>
      </c>
      <c r="J133">
        <v>60</v>
      </c>
      <c r="K133" t="s">
        <v>391</v>
      </c>
      <c r="L133" t="s">
        <v>391</v>
      </c>
      <c r="M133" t="s">
        <v>337</v>
      </c>
      <c r="N133" t="s">
        <v>391</v>
      </c>
    </row>
    <row r="134" spans="1:14" x14ac:dyDescent="0.25">
      <c r="A134" t="s">
        <v>348</v>
      </c>
      <c r="B134" t="s">
        <v>349</v>
      </c>
      <c r="C134">
        <v>4119.33</v>
      </c>
      <c r="D134" t="s">
        <v>441</v>
      </c>
      <c r="E134">
        <v>51.76</v>
      </c>
      <c r="F134">
        <v>260.81</v>
      </c>
      <c r="G134">
        <v>-0.6111</v>
      </c>
      <c r="H134">
        <v>-0.0989</v>
      </c>
      <c r="I134">
        <v>0.7854</v>
      </c>
      <c r="J134">
        <v>60</v>
      </c>
      <c r="K134" t="s">
        <v>391</v>
      </c>
      <c r="L134" t="s">
        <v>391</v>
      </c>
      <c r="M134" t="s">
        <v>337</v>
      </c>
      <c r="N134" t="s">
        <v>391</v>
      </c>
    </row>
    <row r="135" spans="1:14" x14ac:dyDescent="0.25">
      <c r="A135" t="s">
        <v>348</v>
      </c>
      <c r="B135" t="s">
        <v>349</v>
      </c>
      <c r="C135">
        <v>4119.5</v>
      </c>
      <c r="D135" t="s">
        <v>442</v>
      </c>
      <c r="E135">
        <v>49.79</v>
      </c>
      <c r="F135">
        <v>262.68</v>
      </c>
      <c r="G135">
        <v>-0.6403</v>
      </c>
      <c r="H135">
        <v>-0.0823</v>
      </c>
      <c r="I135">
        <v>0.7637</v>
      </c>
      <c r="J135">
        <v>60</v>
      </c>
      <c r="K135" t="s">
        <v>391</v>
      </c>
      <c r="L135" t="s">
        <v>391</v>
      </c>
      <c r="M135" t="s">
        <v>337</v>
      </c>
      <c r="N135" t="s">
        <v>391</v>
      </c>
    </row>
    <row r="136" spans="1:14" x14ac:dyDescent="0.25">
      <c r="A136" t="s">
        <v>348</v>
      </c>
      <c r="B136" t="s">
        <v>349</v>
      </c>
      <c r="C136">
        <v>4119.67</v>
      </c>
      <c r="D136" t="s">
        <v>443</v>
      </c>
      <c r="E136">
        <v>47.82</v>
      </c>
      <c r="F136">
        <v>264.45</v>
      </c>
      <c r="G136">
        <v>-0.6684</v>
      </c>
      <c r="H136">
        <v>-0.065</v>
      </c>
      <c r="I136">
        <v>0.741</v>
      </c>
      <c r="J136">
        <v>60</v>
      </c>
      <c r="K136" t="s">
        <v>391</v>
      </c>
      <c r="L136" t="s">
        <v>391</v>
      </c>
      <c r="M136" t="s">
        <v>337</v>
      </c>
      <c r="N136" t="s">
        <v>391</v>
      </c>
    </row>
    <row r="137" spans="1:14" x14ac:dyDescent="0.25">
      <c r="A137" t="s">
        <v>348</v>
      </c>
      <c r="B137" t="s">
        <v>349</v>
      </c>
      <c r="C137">
        <v>4119.83</v>
      </c>
      <c r="D137" t="s">
        <v>444</v>
      </c>
      <c r="E137">
        <v>45.84</v>
      </c>
      <c r="F137">
        <v>266.14</v>
      </c>
      <c r="G137">
        <v>-0.6951</v>
      </c>
      <c r="H137">
        <v>-0.0469</v>
      </c>
      <c r="I137">
        <v>0.7174</v>
      </c>
      <c r="J137">
        <v>60</v>
      </c>
      <c r="K137" t="s">
        <v>391</v>
      </c>
      <c r="L137" t="s">
        <v>391</v>
      </c>
      <c r="M137" t="s">
        <v>337</v>
      </c>
      <c r="N137" t="s">
        <v>391</v>
      </c>
    </row>
    <row r="138" spans="1:14" x14ac:dyDescent="0.25">
      <c r="A138" t="s">
        <v>348</v>
      </c>
      <c r="B138" t="s">
        <v>349</v>
      </c>
      <c r="C138">
        <v>4120</v>
      </c>
      <c r="D138" t="s">
        <v>445</v>
      </c>
      <c r="E138">
        <v>43.85</v>
      </c>
      <c r="F138">
        <v>267.76</v>
      </c>
      <c r="G138">
        <v>-0.7206</v>
      </c>
      <c r="H138">
        <v>-0.0282</v>
      </c>
      <c r="I138">
        <v>0.6928</v>
      </c>
      <c r="J138">
        <v>60</v>
      </c>
      <c r="K138" t="s">
        <v>391</v>
      </c>
      <c r="L138" t="s">
        <v>391</v>
      </c>
      <c r="M138" t="s">
        <v>337</v>
      </c>
      <c r="N138" t="s">
        <v>391</v>
      </c>
    </row>
    <row r="139" spans="1:14" x14ac:dyDescent="0.25">
      <c r="A139" t="s">
        <v>348</v>
      </c>
      <c r="B139" t="s">
        <v>349</v>
      </c>
      <c r="C139">
        <v>4120.17</v>
      </c>
      <c r="D139" t="s">
        <v>446</v>
      </c>
      <c r="E139">
        <v>41.87</v>
      </c>
      <c r="F139">
        <v>269.32</v>
      </c>
      <c r="G139">
        <v>-0.7447</v>
      </c>
      <c r="H139">
        <v>-0.0088</v>
      </c>
      <c r="I139">
        <v>0.6674</v>
      </c>
      <c r="J139">
        <v>60</v>
      </c>
      <c r="K139" t="s">
        <v>391</v>
      </c>
      <c r="L139" t="s">
        <v>391</v>
      </c>
      <c r="M139" t="s">
        <v>337</v>
      </c>
      <c r="N139" t="s">
        <v>391</v>
      </c>
    </row>
    <row r="140" spans="1:14" x14ac:dyDescent="0.25">
      <c r="A140" t="s">
        <v>348</v>
      </c>
      <c r="B140" t="s">
        <v>349</v>
      </c>
      <c r="C140">
        <v>4120.33</v>
      </c>
      <c r="D140" t="s">
        <v>447</v>
      </c>
      <c r="E140">
        <v>39.88</v>
      </c>
      <c r="F140">
        <v>270.84</v>
      </c>
      <c r="G140">
        <v>-0.7673</v>
      </c>
      <c r="H140">
        <v>0.0112</v>
      </c>
      <c r="I140">
        <v>0.6412</v>
      </c>
      <c r="J140">
        <v>60</v>
      </c>
      <c r="K140" t="s">
        <v>391</v>
      </c>
      <c r="L140" t="s">
        <v>391</v>
      </c>
      <c r="M140" t="s">
        <v>337</v>
      </c>
      <c r="N140" t="s">
        <v>391</v>
      </c>
    </row>
    <row r="141" spans="1:14" x14ac:dyDescent="0.25">
      <c r="A141" t="s">
        <v>348</v>
      </c>
      <c r="B141" t="s">
        <v>349</v>
      </c>
      <c r="C141">
        <v>4120.5</v>
      </c>
      <c r="D141" t="s">
        <v>448</v>
      </c>
      <c r="E141">
        <v>37.89</v>
      </c>
      <c r="F141">
        <v>272.31</v>
      </c>
      <c r="G141">
        <v>-0.7885</v>
      </c>
      <c r="H141">
        <v>0.0318</v>
      </c>
      <c r="I141">
        <v>0.6142</v>
      </c>
      <c r="J141">
        <v>60</v>
      </c>
      <c r="K141" t="s">
        <v>391</v>
      </c>
      <c r="L141" t="s">
        <v>391</v>
      </c>
      <c r="M141" t="s">
        <v>337</v>
      </c>
      <c r="N141" t="s">
        <v>391</v>
      </c>
    </row>
    <row r="142" spans="1:14" x14ac:dyDescent="0.25">
      <c r="A142" t="s">
        <v>348</v>
      </c>
      <c r="B142" t="s">
        <v>349</v>
      </c>
      <c r="C142">
        <v>4120.67</v>
      </c>
      <c r="D142" t="s">
        <v>449</v>
      </c>
      <c r="E142">
        <v>35.91</v>
      </c>
      <c r="F142">
        <v>273.75</v>
      </c>
      <c r="G142">
        <v>-0.8082</v>
      </c>
      <c r="H142">
        <v>0.053</v>
      </c>
      <c r="I142">
        <v>0.5865</v>
      </c>
      <c r="J142">
        <v>60</v>
      </c>
      <c r="K142" t="s">
        <v>391</v>
      </c>
      <c r="L142" t="s">
        <v>391</v>
      </c>
      <c r="M142" t="s">
        <v>337</v>
      </c>
      <c r="N142" t="s">
        <v>391</v>
      </c>
    </row>
    <row r="143" spans="1:14" x14ac:dyDescent="0.25">
      <c r="A143" t="s">
        <v>348</v>
      </c>
      <c r="B143" t="s">
        <v>349</v>
      </c>
      <c r="C143">
        <v>4120.83</v>
      </c>
      <c r="D143" t="s">
        <v>450</v>
      </c>
      <c r="E143">
        <v>33.93</v>
      </c>
      <c r="F143">
        <v>275.16</v>
      </c>
      <c r="G143">
        <v>-0.8264</v>
      </c>
      <c r="H143">
        <v>0.0746</v>
      </c>
      <c r="I143">
        <v>0.5582</v>
      </c>
      <c r="J143">
        <v>60</v>
      </c>
      <c r="K143" t="s">
        <v>391</v>
      </c>
      <c r="L143" t="s">
        <v>391</v>
      </c>
      <c r="M143" t="s">
        <v>337</v>
      </c>
      <c r="N143" t="s">
        <v>391</v>
      </c>
    </row>
    <row r="144" spans="1:14" x14ac:dyDescent="0.25">
      <c r="A144" t="s">
        <v>348</v>
      </c>
      <c r="B144" t="s">
        <v>349</v>
      </c>
      <c r="C144">
        <v>4121</v>
      </c>
      <c r="D144" t="s">
        <v>451</v>
      </c>
      <c r="E144">
        <v>31.95</v>
      </c>
      <c r="F144">
        <v>276.54</v>
      </c>
      <c r="G144">
        <v>-0.843</v>
      </c>
      <c r="H144">
        <v>0.0967</v>
      </c>
      <c r="I144">
        <v>0.5292</v>
      </c>
      <c r="J144">
        <v>60</v>
      </c>
      <c r="K144" t="s">
        <v>391</v>
      </c>
      <c r="L144" t="s">
        <v>391</v>
      </c>
      <c r="M144" t="s">
        <v>337</v>
      </c>
      <c r="N144" t="s">
        <v>391</v>
      </c>
    </row>
    <row r="145" spans="1:14" x14ac:dyDescent="0.25">
      <c r="A145" t="s">
        <v>348</v>
      </c>
      <c r="B145" t="s">
        <v>349</v>
      </c>
      <c r="C145">
        <v>4121.17</v>
      </c>
      <c r="D145" t="s">
        <v>452</v>
      </c>
      <c r="E145">
        <v>29.98</v>
      </c>
      <c r="F145">
        <v>277.91</v>
      </c>
      <c r="G145">
        <v>-0.8579</v>
      </c>
      <c r="H145">
        <v>0.1192</v>
      </c>
      <c r="I145">
        <v>0.4997</v>
      </c>
      <c r="J145">
        <v>60</v>
      </c>
      <c r="K145" t="s">
        <v>391</v>
      </c>
      <c r="L145" t="s">
        <v>391</v>
      </c>
      <c r="M145" t="s">
        <v>337</v>
      </c>
      <c r="N145" t="s">
        <v>391</v>
      </c>
    </row>
    <row r="146" spans="1:14" x14ac:dyDescent="0.25">
      <c r="A146" t="s">
        <v>348</v>
      </c>
      <c r="B146" t="s">
        <v>349</v>
      </c>
      <c r="C146">
        <v>4121.33</v>
      </c>
      <c r="D146" t="s">
        <v>453</v>
      </c>
      <c r="E146">
        <v>28.02</v>
      </c>
      <c r="F146">
        <v>279.26</v>
      </c>
      <c r="G146">
        <v>-0.8713</v>
      </c>
      <c r="H146">
        <v>0.1421</v>
      </c>
      <c r="I146">
        <v>0.4697</v>
      </c>
      <c r="J146">
        <v>60</v>
      </c>
      <c r="K146" t="s">
        <v>391</v>
      </c>
      <c r="L146" t="s">
        <v>391</v>
      </c>
      <c r="M146" t="s">
        <v>337</v>
      </c>
      <c r="N146" t="s">
        <v>391</v>
      </c>
    </row>
    <row r="147" spans="1:14" x14ac:dyDescent="0.25">
      <c r="A147" t="s">
        <v>348</v>
      </c>
      <c r="B147" t="s">
        <v>349</v>
      </c>
      <c r="C147">
        <v>4121.5</v>
      </c>
      <c r="D147" t="s">
        <v>454</v>
      </c>
      <c r="E147">
        <v>26.06</v>
      </c>
      <c r="F147">
        <v>280.61</v>
      </c>
      <c r="G147">
        <v>-0.883</v>
      </c>
      <c r="H147">
        <v>0.1653</v>
      </c>
      <c r="I147">
        <v>0.4393</v>
      </c>
      <c r="J147">
        <v>60</v>
      </c>
      <c r="K147" t="s">
        <v>391</v>
      </c>
      <c r="L147" t="s">
        <v>391</v>
      </c>
      <c r="M147" t="s">
        <v>337</v>
      </c>
      <c r="N147" t="s">
        <v>391</v>
      </c>
    </row>
    <row r="148" spans="1:14" x14ac:dyDescent="0.25">
      <c r="A148" t="s">
        <v>348</v>
      </c>
      <c r="B148" t="s">
        <v>349</v>
      </c>
      <c r="C148">
        <v>4121.67</v>
      </c>
      <c r="D148" t="s">
        <v>455</v>
      </c>
      <c r="E148">
        <v>24.11</v>
      </c>
      <c r="F148">
        <v>281.94</v>
      </c>
      <c r="G148">
        <v>-0.893</v>
      </c>
      <c r="H148">
        <v>0.1889</v>
      </c>
      <c r="I148">
        <v>0.4085</v>
      </c>
      <c r="J148">
        <v>60</v>
      </c>
      <c r="K148" t="s">
        <v>391</v>
      </c>
      <c r="L148" t="s">
        <v>391</v>
      </c>
      <c r="M148" t="s">
        <v>337</v>
      </c>
      <c r="N148" t="s">
        <v>391</v>
      </c>
    </row>
    <row r="149" spans="1:14" x14ac:dyDescent="0.25">
      <c r="A149" t="s">
        <v>348</v>
      </c>
      <c r="B149" t="s">
        <v>349</v>
      </c>
      <c r="C149">
        <v>4121.83</v>
      </c>
      <c r="D149" t="s">
        <v>456</v>
      </c>
      <c r="E149">
        <v>22.17</v>
      </c>
      <c r="F149">
        <v>283.27</v>
      </c>
      <c r="G149">
        <v>-0.9013</v>
      </c>
      <c r="H149">
        <v>0.2126</v>
      </c>
      <c r="I149">
        <v>0.3774</v>
      </c>
      <c r="J149">
        <v>60</v>
      </c>
      <c r="K149" t="s">
        <v>391</v>
      </c>
      <c r="L149" t="s">
        <v>391</v>
      </c>
      <c r="M149" t="s">
        <v>337</v>
      </c>
      <c r="N149" t="s">
        <v>391</v>
      </c>
    </row>
    <row r="150" spans="1:14" x14ac:dyDescent="0.25">
      <c r="A150" t="s">
        <v>348</v>
      </c>
      <c r="B150" t="s">
        <v>349</v>
      </c>
      <c r="C150">
        <v>4122</v>
      </c>
      <c r="D150" t="s">
        <v>365</v>
      </c>
      <c r="E150">
        <v>20.24</v>
      </c>
      <c r="F150">
        <v>284.6</v>
      </c>
      <c r="G150">
        <v>-0.9079</v>
      </c>
      <c r="H150">
        <v>0.2366</v>
      </c>
      <c r="I150">
        <v>0.346</v>
      </c>
      <c r="J150">
        <v>60</v>
      </c>
      <c r="K150" t="s">
        <v>391</v>
      </c>
      <c r="L150" t="s">
        <v>391</v>
      </c>
      <c r="M150" t="s">
        <v>337</v>
      </c>
      <c r="N150" t="s">
        <v>391</v>
      </c>
    </row>
    <row r="151" spans="1:14" x14ac:dyDescent="0.25">
      <c r="A151" t="s">
        <v>348</v>
      </c>
      <c r="B151" t="s">
        <v>349</v>
      </c>
      <c r="C151">
        <v>4122.17</v>
      </c>
      <c r="D151" t="s">
        <v>457</v>
      </c>
      <c r="E151">
        <v>18.33</v>
      </c>
      <c r="F151">
        <v>285.94</v>
      </c>
      <c r="G151">
        <v>-0.9128</v>
      </c>
      <c r="H151">
        <v>0.2607</v>
      </c>
      <c r="I151">
        <v>0.3145</v>
      </c>
      <c r="J151">
        <v>60</v>
      </c>
      <c r="K151" t="s">
        <v>391</v>
      </c>
      <c r="L151" t="s">
        <v>391</v>
      </c>
      <c r="M151" t="s">
        <v>337</v>
      </c>
      <c r="N151" t="s">
        <v>391</v>
      </c>
    </row>
    <row r="152" spans="1:14" x14ac:dyDescent="0.25">
      <c r="A152" t="s">
        <v>348</v>
      </c>
      <c r="B152" t="s">
        <v>349</v>
      </c>
      <c r="C152">
        <v>4122.33</v>
      </c>
      <c r="D152" t="s">
        <v>458</v>
      </c>
      <c r="E152">
        <v>16.42</v>
      </c>
      <c r="F152">
        <v>287.28</v>
      </c>
      <c r="G152">
        <v>-0.9159</v>
      </c>
      <c r="H152">
        <v>0.2849</v>
      </c>
      <c r="I152">
        <v>0.2827</v>
      </c>
      <c r="J152">
        <v>60</v>
      </c>
      <c r="K152" t="s">
        <v>391</v>
      </c>
      <c r="L152" t="s">
        <v>391</v>
      </c>
      <c r="M152" t="s">
        <v>337</v>
      </c>
      <c r="N152" t="s">
        <v>391</v>
      </c>
    </row>
    <row r="153" spans="1:14" x14ac:dyDescent="0.25">
      <c r="A153" t="s">
        <v>348</v>
      </c>
      <c r="B153" t="s">
        <v>349</v>
      </c>
      <c r="C153">
        <v>4122.5</v>
      </c>
      <c r="D153" t="s">
        <v>459</v>
      </c>
      <c r="E153">
        <v>14.53</v>
      </c>
      <c r="F153">
        <v>288.62</v>
      </c>
      <c r="G153">
        <v>-0.9173</v>
      </c>
      <c r="H153">
        <v>0.3092</v>
      </c>
      <c r="I153">
        <v>0.251</v>
      </c>
      <c r="J153">
        <v>60</v>
      </c>
      <c r="K153" t="s">
        <v>391</v>
      </c>
      <c r="L153" t="s">
        <v>391</v>
      </c>
      <c r="M153" t="s">
        <v>337</v>
      </c>
      <c r="N153" t="s">
        <v>391</v>
      </c>
    </row>
    <row r="154" spans="1:14" x14ac:dyDescent="0.25">
      <c r="A154" t="s">
        <v>348</v>
      </c>
      <c r="B154" t="s">
        <v>349</v>
      </c>
      <c r="C154">
        <v>4122.67</v>
      </c>
      <c r="D154" t="s">
        <v>339</v>
      </c>
      <c r="E154">
        <v>12.66</v>
      </c>
      <c r="F154">
        <v>289.98</v>
      </c>
      <c r="G154">
        <v>-0.917</v>
      </c>
      <c r="H154">
        <v>0.3334</v>
      </c>
      <c r="I154">
        <v>0.2191</v>
      </c>
      <c r="J154">
        <v>60</v>
      </c>
      <c r="K154" t="s">
        <v>391</v>
      </c>
      <c r="L154" t="s">
        <v>391</v>
      </c>
      <c r="M154" t="s">
        <v>337</v>
      </c>
      <c r="N154" t="s">
        <v>391</v>
      </c>
    </row>
    <row r="155" spans="1:14" x14ac:dyDescent="0.25">
      <c r="A155" t="s">
        <v>348</v>
      </c>
      <c r="B155" t="s">
        <v>349</v>
      </c>
      <c r="C155">
        <v>4122.83</v>
      </c>
      <c r="D155" t="s">
        <v>468</v>
      </c>
      <c r="E155">
        <v>10.8</v>
      </c>
      <c r="F155">
        <v>291.35</v>
      </c>
      <c r="G155">
        <v>-0.9149</v>
      </c>
      <c r="H155">
        <v>0.3577</v>
      </c>
      <c r="I155">
        <v>0.1874</v>
      </c>
      <c r="J155">
        <v>60</v>
      </c>
      <c r="K155" t="s">
        <v>391</v>
      </c>
      <c r="L155" t="s">
        <v>391</v>
      </c>
      <c r="M155" t="s">
        <v>337</v>
      </c>
      <c r="N155" t="s">
        <v>391</v>
      </c>
    </row>
    <row r="156" spans="1:14" x14ac:dyDescent="0.25">
      <c r="A156" t="s">
        <v>348</v>
      </c>
      <c r="B156" t="s">
        <v>349</v>
      </c>
      <c r="C156">
        <v>4123</v>
      </c>
      <c r="D156" t="s">
        <v>469</v>
      </c>
      <c r="E156">
        <v>8.96</v>
      </c>
      <c r="F156">
        <v>292.74</v>
      </c>
      <c r="G156">
        <v>-0.911</v>
      </c>
      <c r="H156">
        <v>0.3819</v>
      </c>
      <c r="I156">
        <v>0.1557</v>
      </c>
      <c r="J156">
        <v>60</v>
      </c>
      <c r="K156" t="s">
        <v>391</v>
      </c>
      <c r="L156" t="s">
        <v>391</v>
      </c>
      <c r="M156" t="s">
        <v>337</v>
      </c>
      <c r="N156" t="s">
        <v>391</v>
      </c>
    </row>
    <row r="157" spans="1:14" x14ac:dyDescent="0.25">
      <c r="A157" t="s">
        <v>348</v>
      </c>
      <c r="B157" t="s">
        <v>349</v>
      </c>
      <c r="C157">
        <v>4123.17</v>
      </c>
      <c r="D157" t="s">
        <v>470</v>
      </c>
      <c r="E157">
        <v>7.14</v>
      </c>
      <c r="F157">
        <v>294.15</v>
      </c>
      <c r="G157">
        <v>-0.9054</v>
      </c>
      <c r="H157">
        <v>0.4059</v>
      </c>
      <c r="I157">
        <v>0.1242</v>
      </c>
      <c r="J157">
        <v>60</v>
      </c>
      <c r="K157" t="s">
        <v>391</v>
      </c>
      <c r="L157" t="s">
        <v>391</v>
      </c>
      <c r="M157" t="s">
        <v>337</v>
      </c>
      <c r="N157" t="s">
        <v>391</v>
      </c>
    </row>
    <row r="158" spans="1:14" x14ac:dyDescent="0.25">
      <c r="A158" t="s">
        <v>348</v>
      </c>
      <c r="B158" t="s">
        <v>349</v>
      </c>
      <c r="C158">
        <v>4123.33</v>
      </c>
      <c r="D158" t="s">
        <v>471</v>
      </c>
      <c r="E158">
        <v>5.33</v>
      </c>
      <c r="F158">
        <v>295.57</v>
      </c>
      <c r="G158">
        <v>-0.8981</v>
      </c>
      <c r="H158">
        <v>0.4298</v>
      </c>
      <c r="I158">
        <v>0.0929</v>
      </c>
      <c r="J158">
        <v>60</v>
      </c>
      <c r="K158" t="s">
        <v>391</v>
      </c>
      <c r="L158" t="s">
        <v>391</v>
      </c>
      <c r="M158" t="s">
        <v>337</v>
      </c>
      <c r="N158" t="s">
        <v>391</v>
      </c>
    </row>
    <row r="159" spans="1:14" x14ac:dyDescent="0.25">
      <c r="A159" t="s">
        <v>348</v>
      </c>
      <c r="B159" t="s">
        <v>349</v>
      </c>
      <c r="C159">
        <v>4123.5</v>
      </c>
      <c r="D159" t="s">
        <v>472</v>
      </c>
      <c r="E159">
        <v>3.55</v>
      </c>
      <c r="F159">
        <v>297.02</v>
      </c>
      <c r="G159">
        <v>-0.8891</v>
      </c>
      <c r="H159">
        <v>0.4534</v>
      </c>
      <c r="I159">
        <v>0.062</v>
      </c>
      <c r="J159">
        <v>60</v>
      </c>
      <c r="K159" t="s">
        <v>391</v>
      </c>
      <c r="L159" t="s">
        <v>391</v>
      </c>
      <c r="M159" t="s">
        <v>391</v>
      </c>
      <c r="N159" t="s">
        <v>391</v>
      </c>
    </row>
    <row r="160" spans="1:14" x14ac:dyDescent="0.25">
      <c r="A160" t="s">
        <v>348</v>
      </c>
      <c r="B160" t="s">
        <v>349</v>
      </c>
      <c r="C160">
        <v>4123.67</v>
      </c>
      <c r="D160" t="s">
        <v>473</v>
      </c>
      <c r="E160">
        <v>1.79</v>
      </c>
      <c r="F160">
        <v>298.49</v>
      </c>
      <c r="G160">
        <v>-0.8784</v>
      </c>
      <c r="H160">
        <v>0.4768</v>
      </c>
      <c r="I160">
        <v>0.0313</v>
      </c>
      <c r="J160">
        <v>60</v>
      </c>
      <c r="K160" t="s">
        <v>391</v>
      </c>
      <c r="L160" t="s">
        <v>391</v>
      </c>
      <c r="M160" t="s">
        <v>391</v>
      </c>
      <c r="N160" t="s">
        <v>391</v>
      </c>
    </row>
    <row r="161" spans="1:14" x14ac:dyDescent="0.25">
      <c r="A161" t="s">
        <v>348</v>
      </c>
      <c r="B161" t="s">
        <v>349</v>
      </c>
      <c r="C161">
        <v>4123.83</v>
      </c>
      <c r="D161" t="s">
        <v>474</v>
      </c>
      <c r="E161">
        <v>0.06</v>
      </c>
      <c r="F161">
        <v>300</v>
      </c>
      <c r="G161">
        <v>-0.8661</v>
      </c>
      <c r="H161">
        <v>0.4999</v>
      </c>
      <c r="I161">
        <v>0.001</v>
      </c>
      <c r="J161">
        <v>60</v>
      </c>
      <c r="K161" t="s">
        <v>391</v>
      </c>
      <c r="L161" t="s">
        <v>391</v>
      </c>
      <c r="M161" t="s">
        <v>391</v>
      </c>
      <c r="N161" t="s">
        <v>391</v>
      </c>
    </row>
    <row r="162" spans="1:14" x14ac:dyDescent="0.25">
      <c r="A162" t="s">
        <v>358</v>
      </c>
      <c r="B162" t="s">
        <v>359</v>
      </c>
      <c r="C162">
        <v>6366.5</v>
      </c>
      <c r="D162" t="s">
        <v>467</v>
      </c>
      <c r="E162">
        <v>1.39</v>
      </c>
      <c r="F162">
        <v>90.64</v>
      </c>
      <c r="G162">
        <v>0.9996</v>
      </c>
      <c r="H162">
        <v>-0.0111</v>
      </c>
      <c r="I162">
        <v>0.0243</v>
      </c>
      <c r="J162">
        <v>45</v>
      </c>
      <c r="K162" t="s">
        <v>391</v>
      </c>
      <c r="L162" t="s">
        <v>391</v>
      </c>
      <c r="M162" t="s">
        <v>391</v>
      </c>
      <c r="N162" t="s">
        <v>391</v>
      </c>
    </row>
    <row r="163" spans="1:14" x14ac:dyDescent="0.25">
      <c r="A163" t="s">
        <v>358</v>
      </c>
      <c r="B163" t="s">
        <v>359</v>
      </c>
      <c r="C163">
        <v>6366.67</v>
      </c>
      <c r="D163" t="s">
        <v>338</v>
      </c>
      <c r="E163">
        <v>3.38</v>
      </c>
      <c r="F163">
        <v>92.16</v>
      </c>
      <c r="G163">
        <v>0.9976</v>
      </c>
      <c r="H163">
        <v>-0.0376</v>
      </c>
      <c r="I163">
        <v>0.0589</v>
      </c>
      <c r="J163">
        <v>45</v>
      </c>
      <c r="K163" t="s">
        <v>391</v>
      </c>
      <c r="L163" t="s">
        <v>391</v>
      </c>
      <c r="M163" t="s">
        <v>391</v>
      </c>
      <c r="N163" t="s">
        <v>391</v>
      </c>
    </row>
    <row r="164" spans="1:14" x14ac:dyDescent="0.25">
      <c r="A164" t="s">
        <v>358</v>
      </c>
      <c r="B164" t="s">
        <v>359</v>
      </c>
      <c r="C164">
        <v>6366.83</v>
      </c>
      <c r="D164" t="s">
        <v>392</v>
      </c>
      <c r="E164">
        <v>5.36</v>
      </c>
      <c r="F164">
        <v>93.69</v>
      </c>
      <c r="G164">
        <v>0.9936</v>
      </c>
      <c r="H164">
        <v>-0.064</v>
      </c>
      <c r="I164">
        <v>0.0934</v>
      </c>
      <c r="J164">
        <v>45</v>
      </c>
      <c r="K164" t="s">
        <v>337</v>
      </c>
      <c r="L164" t="s">
        <v>391</v>
      </c>
      <c r="M164" t="s">
        <v>391</v>
      </c>
      <c r="N164" t="s">
        <v>391</v>
      </c>
    </row>
    <row r="165" spans="1:14" x14ac:dyDescent="0.25">
      <c r="A165" t="s">
        <v>358</v>
      </c>
      <c r="B165" t="s">
        <v>359</v>
      </c>
      <c r="C165">
        <v>6367</v>
      </c>
      <c r="D165" t="s">
        <v>393</v>
      </c>
      <c r="E165">
        <v>7.34</v>
      </c>
      <c r="F165">
        <v>95.22</v>
      </c>
      <c r="G165">
        <v>0.9877</v>
      </c>
      <c r="H165">
        <v>-0.0903</v>
      </c>
      <c r="I165">
        <v>0.1278</v>
      </c>
      <c r="J165">
        <v>45</v>
      </c>
      <c r="K165" t="s">
        <v>337</v>
      </c>
      <c r="L165" t="s">
        <v>391</v>
      </c>
      <c r="M165" t="s">
        <v>391</v>
      </c>
      <c r="N165" t="s">
        <v>391</v>
      </c>
    </row>
    <row r="166" spans="1:14" x14ac:dyDescent="0.25">
      <c r="A166" t="s">
        <v>358</v>
      </c>
      <c r="B166" t="s">
        <v>359</v>
      </c>
      <c r="C166">
        <v>6367.17</v>
      </c>
      <c r="D166" t="s">
        <v>394</v>
      </c>
      <c r="E166">
        <v>9.32</v>
      </c>
      <c r="F166">
        <v>96.77</v>
      </c>
      <c r="G166">
        <v>0.9799</v>
      </c>
      <c r="H166">
        <v>-0.1164</v>
      </c>
      <c r="I166">
        <v>0.1619</v>
      </c>
      <c r="J166">
        <v>45</v>
      </c>
      <c r="K166" t="s">
        <v>337</v>
      </c>
      <c r="L166" t="s">
        <v>391</v>
      </c>
      <c r="M166" t="s">
        <v>391</v>
      </c>
      <c r="N166" t="s">
        <v>391</v>
      </c>
    </row>
    <row r="167" spans="1:14" x14ac:dyDescent="0.25">
      <c r="A167" t="s">
        <v>358</v>
      </c>
      <c r="B167" t="s">
        <v>359</v>
      </c>
      <c r="C167">
        <v>6367.33</v>
      </c>
      <c r="D167" t="s">
        <v>395</v>
      </c>
      <c r="E167">
        <v>11.29</v>
      </c>
      <c r="F167">
        <v>98.34</v>
      </c>
      <c r="G167">
        <v>0.9703</v>
      </c>
      <c r="H167">
        <v>-0.1423</v>
      </c>
      <c r="I167">
        <v>0.1957</v>
      </c>
      <c r="J167">
        <v>45</v>
      </c>
      <c r="K167" t="s">
        <v>337</v>
      </c>
      <c r="L167" t="s">
        <v>391</v>
      </c>
      <c r="M167" t="s">
        <v>391</v>
      </c>
      <c r="N167" t="s">
        <v>391</v>
      </c>
    </row>
    <row r="168" spans="1:14" x14ac:dyDescent="0.25">
      <c r="A168" t="s">
        <v>358</v>
      </c>
      <c r="B168" t="s">
        <v>359</v>
      </c>
      <c r="C168">
        <v>6367.5</v>
      </c>
      <c r="D168" t="s">
        <v>396</v>
      </c>
      <c r="E168">
        <v>13.25</v>
      </c>
      <c r="F168">
        <v>99.93</v>
      </c>
      <c r="G168">
        <v>0.9588</v>
      </c>
      <c r="H168">
        <v>-0.1679</v>
      </c>
      <c r="I168">
        <v>0.2291</v>
      </c>
      <c r="J168">
        <v>45</v>
      </c>
      <c r="K168" t="s">
        <v>337</v>
      </c>
      <c r="L168" t="s">
        <v>391</v>
      </c>
      <c r="M168" t="s">
        <v>391</v>
      </c>
      <c r="N168" t="s">
        <v>391</v>
      </c>
    </row>
    <row r="169" spans="1:14" x14ac:dyDescent="0.25">
      <c r="A169" t="s">
        <v>358</v>
      </c>
      <c r="B169" t="s">
        <v>359</v>
      </c>
      <c r="C169">
        <v>6367.67</v>
      </c>
      <c r="D169" t="s">
        <v>397</v>
      </c>
      <c r="E169">
        <v>15.2</v>
      </c>
      <c r="F169">
        <v>101.54</v>
      </c>
      <c r="G169">
        <v>0.9455</v>
      </c>
      <c r="H169">
        <v>-0.1931</v>
      </c>
      <c r="I169">
        <v>0.2621</v>
      </c>
      <c r="J169">
        <v>45</v>
      </c>
      <c r="K169" t="s">
        <v>337</v>
      </c>
      <c r="L169" t="s">
        <v>391</v>
      </c>
      <c r="M169" t="s">
        <v>391</v>
      </c>
      <c r="N169" t="s">
        <v>391</v>
      </c>
    </row>
    <row r="170" spans="1:14" x14ac:dyDescent="0.25">
      <c r="A170" t="s">
        <v>358</v>
      </c>
      <c r="B170" t="s">
        <v>359</v>
      </c>
      <c r="C170">
        <v>6367.83</v>
      </c>
      <c r="D170" t="s">
        <v>398</v>
      </c>
      <c r="E170">
        <v>17.14</v>
      </c>
      <c r="F170">
        <v>103.19</v>
      </c>
      <c r="G170">
        <v>0.9304</v>
      </c>
      <c r="H170">
        <v>-0.218</v>
      </c>
      <c r="I170">
        <v>0.2947</v>
      </c>
      <c r="J170">
        <v>45</v>
      </c>
      <c r="K170" t="s">
        <v>337</v>
      </c>
      <c r="L170" t="s">
        <v>391</v>
      </c>
      <c r="M170" t="s">
        <v>391</v>
      </c>
      <c r="N170" t="s">
        <v>391</v>
      </c>
    </row>
    <row r="171" spans="1:14" x14ac:dyDescent="0.25">
      <c r="A171" t="s">
        <v>358</v>
      </c>
      <c r="B171" t="s">
        <v>359</v>
      </c>
      <c r="C171">
        <v>6368</v>
      </c>
      <c r="D171" t="s">
        <v>399</v>
      </c>
      <c r="E171">
        <v>19.06</v>
      </c>
      <c r="F171">
        <v>104.86</v>
      </c>
      <c r="G171">
        <v>0.9135</v>
      </c>
      <c r="H171">
        <v>-0.2425</v>
      </c>
      <c r="I171">
        <v>0.3266</v>
      </c>
      <c r="J171">
        <v>45</v>
      </c>
      <c r="K171" t="s">
        <v>337</v>
      </c>
      <c r="L171" t="s">
        <v>391</v>
      </c>
      <c r="M171" t="s">
        <v>391</v>
      </c>
      <c r="N171" t="s">
        <v>391</v>
      </c>
    </row>
    <row r="172" spans="1:14" x14ac:dyDescent="0.25">
      <c r="A172" t="s">
        <v>358</v>
      </c>
      <c r="B172" t="s">
        <v>359</v>
      </c>
      <c r="C172">
        <v>6368.17</v>
      </c>
      <c r="D172" t="s">
        <v>400</v>
      </c>
      <c r="E172">
        <v>20.97</v>
      </c>
      <c r="F172">
        <v>106.58</v>
      </c>
      <c r="G172">
        <v>0.8949</v>
      </c>
      <c r="H172">
        <v>-0.2664</v>
      </c>
      <c r="I172">
        <v>0.358</v>
      </c>
      <c r="J172">
        <v>45</v>
      </c>
      <c r="K172" t="s">
        <v>337</v>
      </c>
      <c r="L172" t="s">
        <v>391</v>
      </c>
      <c r="M172" t="s">
        <v>391</v>
      </c>
      <c r="N172" t="s">
        <v>391</v>
      </c>
    </row>
    <row r="173" spans="1:14" x14ac:dyDescent="0.25">
      <c r="A173" t="s">
        <v>358</v>
      </c>
      <c r="B173" t="s">
        <v>359</v>
      </c>
      <c r="C173">
        <v>6368.33</v>
      </c>
      <c r="D173" t="s">
        <v>401</v>
      </c>
      <c r="E173">
        <v>22.87</v>
      </c>
      <c r="F173">
        <v>108.34</v>
      </c>
      <c r="G173">
        <v>0.8746</v>
      </c>
      <c r="H173">
        <v>-0.2899</v>
      </c>
      <c r="I173">
        <v>0.3886</v>
      </c>
      <c r="J173">
        <v>45</v>
      </c>
      <c r="K173" t="s">
        <v>337</v>
      </c>
      <c r="L173" t="s">
        <v>391</v>
      </c>
      <c r="M173" t="s">
        <v>391</v>
      </c>
      <c r="N173" t="s">
        <v>391</v>
      </c>
    </row>
    <row r="174" spans="1:14" x14ac:dyDescent="0.25">
      <c r="A174" t="s">
        <v>358</v>
      </c>
      <c r="B174" t="s">
        <v>359</v>
      </c>
      <c r="C174">
        <v>6368.5</v>
      </c>
      <c r="D174" t="s">
        <v>402</v>
      </c>
      <c r="E174">
        <v>24.74</v>
      </c>
      <c r="F174">
        <v>110.15</v>
      </c>
      <c r="G174">
        <v>0.8526</v>
      </c>
      <c r="H174">
        <v>-0.3128</v>
      </c>
      <c r="I174">
        <v>0.4186</v>
      </c>
      <c r="J174">
        <v>45</v>
      </c>
      <c r="K174" t="s">
        <v>337</v>
      </c>
      <c r="L174" t="s">
        <v>391</v>
      </c>
      <c r="M174" t="s">
        <v>391</v>
      </c>
      <c r="N174" t="s">
        <v>391</v>
      </c>
    </row>
    <row r="175" spans="1:14" x14ac:dyDescent="0.25">
      <c r="A175" t="s">
        <v>358</v>
      </c>
      <c r="B175" t="s">
        <v>359</v>
      </c>
      <c r="C175">
        <v>6368.67</v>
      </c>
      <c r="D175" t="s">
        <v>403</v>
      </c>
      <c r="E175">
        <v>26.6</v>
      </c>
      <c r="F175">
        <v>112.01</v>
      </c>
      <c r="G175">
        <v>0.829</v>
      </c>
      <c r="H175">
        <v>-0.3351</v>
      </c>
      <c r="I175">
        <v>0.4477</v>
      </c>
      <c r="J175">
        <v>45</v>
      </c>
      <c r="K175" t="s">
        <v>337</v>
      </c>
      <c r="L175" t="s">
        <v>391</v>
      </c>
      <c r="M175" t="s">
        <v>391</v>
      </c>
      <c r="N175" t="s">
        <v>391</v>
      </c>
    </row>
    <row r="176" spans="1:14" x14ac:dyDescent="0.25">
      <c r="A176" t="s">
        <v>358</v>
      </c>
      <c r="B176" t="s">
        <v>359</v>
      </c>
      <c r="C176">
        <v>6368.83</v>
      </c>
      <c r="D176" t="s">
        <v>404</v>
      </c>
      <c r="E176">
        <v>28.42</v>
      </c>
      <c r="F176">
        <v>113.94</v>
      </c>
      <c r="G176">
        <v>0.8038</v>
      </c>
      <c r="H176">
        <v>-0.3568</v>
      </c>
      <c r="I176">
        <v>0.476</v>
      </c>
      <c r="J176">
        <v>45</v>
      </c>
      <c r="K176" t="s">
        <v>337</v>
      </c>
      <c r="L176" t="s">
        <v>391</v>
      </c>
      <c r="M176" t="s">
        <v>391</v>
      </c>
      <c r="N176" t="s">
        <v>391</v>
      </c>
    </row>
    <row r="177" spans="1:14" x14ac:dyDescent="0.25">
      <c r="A177" t="s">
        <v>358</v>
      </c>
      <c r="B177" t="s">
        <v>359</v>
      </c>
      <c r="C177">
        <v>6369</v>
      </c>
      <c r="D177" t="s">
        <v>405</v>
      </c>
      <c r="E177">
        <v>30.23</v>
      </c>
      <c r="F177">
        <v>115.93</v>
      </c>
      <c r="G177">
        <v>0.7771</v>
      </c>
      <c r="H177">
        <v>-0.3778</v>
      </c>
      <c r="I177">
        <v>0.5034</v>
      </c>
      <c r="J177">
        <v>45</v>
      </c>
      <c r="K177" t="s">
        <v>337</v>
      </c>
      <c r="L177" t="s">
        <v>391</v>
      </c>
      <c r="M177" t="s">
        <v>391</v>
      </c>
      <c r="N177" t="s">
        <v>391</v>
      </c>
    </row>
    <row r="178" spans="1:14" x14ac:dyDescent="0.25">
      <c r="A178" t="s">
        <v>358</v>
      </c>
      <c r="B178" t="s">
        <v>359</v>
      </c>
      <c r="C178">
        <v>6369.17</v>
      </c>
      <c r="D178" t="s">
        <v>406</v>
      </c>
      <c r="E178">
        <v>32</v>
      </c>
      <c r="F178">
        <v>117.99</v>
      </c>
      <c r="G178">
        <v>0.7489</v>
      </c>
      <c r="H178">
        <v>-0.398</v>
      </c>
      <c r="I178">
        <v>0.5298</v>
      </c>
      <c r="J178">
        <v>45</v>
      </c>
      <c r="K178" t="s">
        <v>337</v>
      </c>
      <c r="L178" t="s">
        <v>391</v>
      </c>
      <c r="M178" t="s">
        <v>391</v>
      </c>
      <c r="N178" t="s">
        <v>391</v>
      </c>
    </row>
    <row r="179" spans="1:14" x14ac:dyDescent="0.25">
      <c r="A179" t="s">
        <v>358</v>
      </c>
      <c r="B179" t="s">
        <v>359</v>
      </c>
      <c r="C179">
        <v>6369.33</v>
      </c>
      <c r="D179" t="s">
        <v>407</v>
      </c>
      <c r="E179">
        <v>33.73</v>
      </c>
      <c r="F179">
        <v>120.13</v>
      </c>
      <c r="G179">
        <v>0.7193</v>
      </c>
      <c r="H179">
        <v>-0.4175</v>
      </c>
      <c r="I179">
        <v>0.5553</v>
      </c>
      <c r="J179">
        <v>45</v>
      </c>
      <c r="K179" t="s">
        <v>337</v>
      </c>
      <c r="L179" t="s">
        <v>391</v>
      </c>
      <c r="M179" t="s">
        <v>391</v>
      </c>
      <c r="N179" t="s">
        <v>391</v>
      </c>
    </row>
    <row r="180" spans="1:14" x14ac:dyDescent="0.25">
      <c r="A180" t="s">
        <v>358</v>
      </c>
      <c r="B180" t="s">
        <v>359</v>
      </c>
      <c r="C180">
        <v>6369.5</v>
      </c>
      <c r="D180" t="s">
        <v>408</v>
      </c>
      <c r="E180">
        <v>35.43</v>
      </c>
      <c r="F180">
        <v>122.36</v>
      </c>
      <c r="G180">
        <v>0.6883</v>
      </c>
      <c r="H180">
        <v>-0.4362</v>
      </c>
      <c r="I180">
        <v>0.5797</v>
      </c>
      <c r="J180">
        <v>45</v>
      </c>
      <c r="K180" t="s">
        <v>337</v>
      </c>
      <c r="L180" t="s">
        <v>391</v>
      </c>
      <c r="M180" t="s">
        <v>391</v>
      </c>
      <c r="N180" t="s">
        <v>391</v>
      </c>
    </row>
    <row r="181" spans="1:14" x14ac:dyDescent="0.25">
      <c r="A181" t="s">
        <v>358</v>
      </c>
      <c r="B181" t="s">
        <v>359</v>
      </c>
      <c r="C181">
        <v>6369.67</v>
      </c>
      <c r="D181" t="s">
        <v>409</v>
      </c>
      <c r="E181">
        <v>37.08</v>
      </c>
      <c r="F181">
        <v>124.69</v>
      </c>
      <c r="G181">
        <v>0.656</v>
      </c>
      <c r="H181">
        <v>-0.454</v>
      </c>
      <c r="I181">
        <v>0.603</v>
      </c>
      <c r="J181">
        <v>45</v>
      </c>
      <c r="K181" t="s">
        <v>337</v>
      </c>
      <c r="L181" t="s">
        <v>391</v>
      </c>
      <c r="M181" t="s">
        <v>391</v>
      </c>
      <c r="N181" t="s">
        <v>391</v>
      </c>
    </row>
    <row r="182" spans="1:14" x14ac:dyDescent="0.25">
      <c r="A182" t="s">
        <v>358</v>
      </c>
      <c r="B182" t="s">
        <v>359</v>
      </c>
      <c r="C182">
        <v>6369.83</v>
      </c>
      <c r="D182" t="s">
        <v>410</v>
      </c>
      <c r="E182">
        <v>38.69</v>
      </c>
      <c r="F182">
        <v>127.12</v>
      </c>
      <c r="G182">
        <v>0.6224</v>
      </c>
      <c r="H182">
        <v>-0.471</v>
      </c>
      <c r="I182">
        <v>0.6251</v>
      </c>
      <c r="J182">
        <v>45</v>
      </c>
      <c r="K182" t="s">
        <v>337</v>
      </c>
      <c r="L182" t="s">
        <v>391</v>
      </c>
      <c r="M182" t="s">
        <v>391</v>
      </c>
      <c r="N182" t="s">
        <v>391</v>
      </c>
    </row>
    <row r="183" spans="1:14" x14ac:dyDescent="0.25">
      <c r="A183" t="s">
        <v>358</v>
      </c>
      <c r="B183" t="s">
        <v>359</v>
      </c>
      <c r="C183">
        <v>6370</v>
      </c>
      <c r="D183" t="s">
        <v>411</v>
      </c>
      <c r="E183">
        <v>40.25</v>
      </c>
      <c r="F183">
        <v>129.65</v>
      </c>
      <c r="G183">
        <v>0.5877</v>
      </c>
      <c r="H183">
        <v>-0.4871</v>
      </c>
      <c r="I183">
        <v>0.6461</v>
      </c>
      <c r="J183">
        <v>45</v>
      </c>
      <c r="K183" t="s">
        <v>337</v>
      </c>
      <c r="L183" t="s">
        <v>391</v>
      </c>
      <c r="M183" t="s">
        <v>391</v>
      </c>
      <c r="N183" t="s">
        <v>391</v>
      </c>
    </row>
    <row r="184" spans="1:14" x14ac:dyDescent="0.25">
      <c r="A184" t="s">
        <v>358</v>
      </c>
      <c r="B184" t="s">
        <v>359</v>
      </c>
      <c r="C184">
        <v>6370.17</v>
      </c>
      <c r="D184" t="s">
        <v>412</v>
      </c>
      <c r="E184">
        <v>41.75</v>
      </c>
      <c r="F184">
        <v>132.3</v>
      </c>
      <c r="G184">
        <v>0.5518</v>
      </c>
      <c r="H184">
        <v>-0.5022</v>
      </c>
      <c r="I184">
        <v>0.6658</v>
      </c>
      <c r="J184">
        <v>45</v>
      </c>
      <c r="K184" t="s">
        <v>337</v>
      </c>
      <c r="L184" t="s">
        <v>391</v>
      </c>
      <c r="M184" t="s">
        <v>391</v>
      </c>
      <c r="N184" t="s">
        <v>391</v>
      </c>
    </row>
    <row r="185" spans="1:14" x14ac:dyDescent="0.25">
      <c r="A185" t="s">
        <v>358</v>
      </c>
      <c r="B185" t="s">
        <v>359</v>
      </c>
      <c r="C185">
        <v>6370.33</v>
      </c>
      <c r="D185" t="s">
        <v>361</v>
      </c>
      <c r="E185">
        <v>43.18</v>
      </c>
      <c r="F185">
        <v>135.08</v>
      </c>
      <c r="G185">
        <v>0.5149</v>
      </c>
      <c r="H185">
        <v>-0.5164</v>
      </c>
      <c r="I185">
        <v>0.6843</v>
      </c>
      <c r="J185">
        <v>45</v>
      </c>
      <c r="K185" t="s">
        <v>391</v>
      </c>
      <c r="L185" t="s">
        <v>337</v>
      </c>
      <c r="M185" t="s">
        <v>391</v>
      </c>
      <c r="N185" t="s">
        <v>391</v>
      </c>
    </row>
    <row r="186" spans="1:14" x14ac:dyDescent="0.25">
      <c r="A186" t="s">
        <v>358</v>
      </c>
      <c r="B186" t="s">
        <v>359</v>
      </c>
      <c r="C186">
        <v>6370.5</v>
      </c>
      <c r="D186" t="s">
        <v>413</v>
      </c>
      <c r="E186">
        <v>44.55</v>
      </c>
      <c r="F186">
        <v>137.99</v>
      </c>
      <c r="G186">
        <v>0.477</v>
      </c>
      <c r="H186">
        <v>-0.5295</v>
      </c>
      <c r="I186">
        <v>0.7015</v>
      </c>
      <c r="J186">
        <v>45</v>
      </c>
      <c r="K186" t="s">
        <v>391</v>
      </c>
      <c r="L186" t="s">
        <v>337</v>
      </c>
      <c r="M186" t="s">
        <v>391</v>
      </c>
      <c r="N186" t="s">
        <v>391</v>
      </c>
    </row>
    <row r="187" spans="1:14" x14ac:dyDescent="0.25">
      <c r="A187" t="s">
        <v>358</v>
      </c>
      <c r="B187" t="s">
        <v>359</v>
      </c>
      <c r="C187">
        <v>6370.67</v>
      </c>
      <c r="D187" t="s">
        <v>414</v>
      </c>
      <c r="E187">
        <v>45.83</v>
      </c>
      <c r="F187">
        <v>141.03</v>
      </c>
      <c r="G187">
        <v>0.4382</v>
      </c>
      <c r="H187">
        <v>-0.5417</v>
      </c>
      <c r="I187">
        <v>0.7173</v>
      </c>
      <c r="J187">
        <v>45</v>
      </c>
      <c r="K187" t="s">
        <v>391</v>
      </c>
      <c r="L187" t="s">
        <v>337</v>
      </c>
      <c r="M187" t="s">
        <v>391</v>
      </c>
      <c r="N187" t="s">
        <v>391</v>
      </c>
    </row>
    <row r="188" spans="1:14" x14ac:dyDescent="0.25">
      <c r="A188" t="s">
        <v>358</v>
      </c>
      <c r="B188" t="s">
        <v>359</v>
      </c>
      <c r="C188">
        <v>6370.83</v>
      </c>
      <c r="D188" t="s">
        <v>415</v>
      </c>
      <c r="E188">
        <v>47.04</v>
      </c>
      <c r="F188">
        <v>144.21</v>
      </c>
      <c r="G188">
        <v>0.3986</v>
      </c>
      <c r="H188">
        <v>-0.5528</v>
      </c>
      <c r="I188">
        <v>0.7318</v>
      </c>
      <c r="J188">
        <v>45</v>
      </c>
      <c r="K188" t="s">
        <v>391</v>
      </c>
      <c r="L188" t="s">
        <v>337</v>
      </c>
      <c r="M188" t="s">
        <v>391</v>
      </c>
      <c r="N188" t="s">
        <v>391</v>
      </c>
    </row>
    <row r="189" spans="1:14" x14ac:dyDescent="0.25">
      <c r="A189" t="s">
        <v>358</v>
      </c>
      <c r="B189" t="s">
        <v>359</v>
      </c>
      <c r="C189">
        <v>6371</v>
      </c>
      <c r="D189" t="s">
        <v>416</v>
      </c>
      <c r="E189">
        <v>48.15</v>
      </c>
      <c r="F189">
        <v>147.53</v>
      </c>
      <c r="G189">
        <v>0.3582</v>
      </c>
      <c r="H189">
        <v>-0.5629</v>
      </c>
      <c r="I189">
        <v>0.7449</v>
      </c>
      <c r="J189">
        <v>45</v>
      </c>
      <c r="K189" t="s">
        <v>391</v>
      </c>
      <c r="L189" t="s">
        <v>337</v>
      </c>
      <c r="M189" t="s">
        <v>391</v>
      </c>
      <c r="N189" t="s">
        <v>391</v>
      </c>
    </row>
    <row r="190" spans="1:14" x14ac:dyDescent="0.25">
      <c r="A190" t="s">
        <v>358</v>
      </c>
      <c r="B190" t="s">
        <v>359</v>
      </c>
      <c r="C190">
        <v>6371.17</v>
      </c>
      <c r="D190" t="s">
        <v>417</v>
      </c>
      <c r="E190">
        <v>49.17</v>
      </c>
      <c r="F190">
        <v>150.99</v>
      </c>
      <c r="G190">
        <v>0.3171</v>
      </c>
      <c r="H190">
        <v>-0.5718</v>
      </c>
      <c r="I190">
        <v>0.7566</v>
      </c>
      <c r="J190">
        <v>45</v>
      </c>
      <c r="K190" t="s">
        <v>391</v>
      </c>
      <c r="L190" t="s">
        <v>337</v>
      </c>
      <c r="M190" t="s">
        <v>391</v>
      </c>
      <c r="N190" t="s">
        <v>391</v>
      </c>
    </row>
    <row r="191" spans="1:14" x14ac:dyDescent="0.25">
      <c r="A191" t="s">
        <v>358</v>
      </c>
      <c r="B191" t="s">
        <v>359</v>
      </c>
      <c r="C191">
        <v>6371.33</v>
      </c>
      <c r="D191" t="s">
        <v>418</v>
      </c>
      <c r="E191">
        <v>50.07</v>
      </c>
      <c r="F191">
        <v>154.59</v>
      </c>
      <c r="G191">
        <v>0.2754</v>
      </c>
      <c r="H191">
        <v>-0.5797</v>
      </c>
      <c r="I191">
        <v>0.7669</v>
      </c>
      <c r="J191">
        <v>45</v>
      </c>
      <c r="K191" t="s">
        <v>391</v>
      </c>
      <c r="L191" t="s">
        <v>337</v>
      </c>
      <c r="M191" t="s">
        <v>391</v>
      </c>
      <c r="N191" t="s">
        <v>391</v>
      </c>
    </row>
    <row r="192" spans="1:14" x14ac:dyDescent="0.25">
      <c r="A192" t="s">
        <v>358</v>
      </c>
      <c r="B192" t="s">
        <v>359</v>
      </c>
      <c r="C192">
        <v>6371.5</v>
      </c>
      <c r="D192" t="s">
        <v>419</v>
      </c>
      <c r="E192">
        <v>50.86</v>
      </c>
      <c r="F192">
        <v>158.32</v>
      </c>
      <c r="G192">
        <v>0.2332</v>
      </c>
      <c r="H192">
        <v>-0.5865</v>
      </c>
      <c r="I192">
        <v>0.7756</v>
      </c>
      <c r="J192">
        <v>45</v>
      </c>
      <c r="K192" t="s">
        <v>391</v>
      </c>
      <c r="L192" t="s">
        <v>337</v>
      </c>
      <c r="M192" t="s">
        <v>391</v>
      </c>
      <c r="N192" t="s">
        <v>391</v>
      </c>
    </row>
    <row r="193" spans="1:14" x14ac:dyDescent="0.25">
      <c r="A193" t="s">
        <v>358</v>
      </c>
      <c r="B193" t="s">
        <v>359</v>
      </c>
      <c r="C193">
        <v>6371.67</v>
      </c>
      <c r="D193" t="s">
        <v>420</v>
      </c>
      <c r="E193">
        <v>51.53</v>
      </c>
      <c r="F193">
        <v>162.16</v>
      </c>
      <c r="G193">
        <v>0.1906</v>
      </c>
      <c r="H193">
        <v>-0.5922</v>
      </c>
      <c r="I193">
        <v>0.783</v>
      </c>
      <c r="J193">
        <v>45</v>
      </c>
      <c r="K193" t="s">
        <v>391</v>
      </c>
      <c r="L193" t="s">
        <v>337</v>
      </c>
      <c r="M193" t="s">
        <v>391</v>
      </c>
      <c r="N193" t="s">
        <v>391</v>
      </c>
    </row>
    <row r="194" spans="1:14" x14ac:dyDescent="0.25">
      <c r="A194" t="s">
        <v>358</v>
      </c>
      <c r="B194" t="s">
        <v>359</v>
      </c>
      <c r="C194">
        <v>6371.83</v>
      </c>
      <c r="D194" t="s">
        <v>421</v>
      </c>
      <c r="E194">
        <v>52.07</v>
      </c>
      <c r="F194">
        <v>166.11</v>
      </c>
      <c r="G194">
        <v>0.1475</v>
      </c>
      <c r="H194">
        <v>-0.5967</v>
      </c>
      <c r="I194">
        <v>0.7888</v>
      </c>
      <c r="J194">
        <v>45</v>
      </c>
      <c r="K194" t="s">
        <v>391</v>
      </c>
      <c r="L194" t="s">
        <v>337</v>
      </c>
      <c r="M194" t="s">
        <v>391</v>
      </c>
      <c r="N194" t="s">
        <v>391</v>
      </c>
    </row>
    <row r="195" spans="1:14" x14ac:dyDescent="0.25">
      <c r="A195" t="s">
        <v>358</v>
      </c>
      <c r="B195" t="s">
        <v>359</v>
      </c>
      <c r="C195">
        <v>6372</v>
      </c>
      <c r="D195" t="s">
        <v>422</v>
      </c>
      <c r="E195">
        <v>52.48</v>
      </c>
      <c r="F195">
        <v>170.14</v>
      </c>
      <c r="G195">
        <v>0.1043</v>
      </c>
      <c r="H195">
        <v>-0.6</v>
      </c>
      <c r="I195">
        <v>0.7931</v>
      </c>
      <c r="J195">
        <v>45</v>
      </c>
      <c r="K195" t="s">
        <v>391</v>
      </c>
      <c r="L195" t="s">
        <v>337</v>
      </c>
      <c r="M195" t="s">
        <v>391</v>
      </c>
      <c r="N195" t="s">
        <v>391</v>
      </c>
    </row>
    <row r="196" spans="1:14" x14ac:dyDescent="0.25">
      <c r="A196" t="s">
        <v>358</v>
      </c>
      <c r="B196" t="s">
        <v>359</v>
      </c>
      <c r="C196">
        <v>6372.17</v>
      </c>
      <c r="D196" t="s">
        <v>423</v>
      </c>
      <c r="E196">
        <v>52.75</v>
      </c>
      <c r="F196">
        <v>174.24</v>
      </c>
      <c r="G196">
        <v>0.0608</v>
      </c>
      <c r="H196">
        <v>-0.6023</v>
      </c>
      <c r="I196">
        <v>0.796</v>
      </c>
      <c r="J196">
        <v>45</v>
      </c>
      <c r="K196" t="s">
        <v>391</v>
      </c>
      <c r="L196" t="s">
        <v>337</v>
      </c>
      <c r="M196" t="s">
        <v>391</v>
      </c>
      <c r="N196" t="s">
        <v>391</v>
      </c>
    </row>
    <row r="197" spans="1:14" x14ac:dyDescent="0.25">
      <c r="A197" t="s">
        <v>358</v>
      </c>
      <c r="B197" t="s">
        <v>359</v>
      </c>
      <c r="C197">
        <v>6372.33</v>
      </c>
      <c r="D197" t="s">
        <v>424</v>
      </c>
      <c r="E197">
        <v>52.87</v>
      </c>
      <c r="F197">
        <v>178.37</v>
      </c>
      <c r="G197">
        <v>0.0172</v>
      </c>
      <c r="H197">
        <v>-0.6033</v>
      </c>
      <c r="I197">
        <v>0.7973</v>
      </c>
      <c r="J197">
        <v>45</v>
      </c>
      <c r="K197" t="s">
        <v>391</v>
      </c>
      <c r="L197" t="s">
        <v>337</v>
      </c>
      <c r="M197" t="s">
        <v>391</v>
      </c>
      <c r="N197" t="s">
        <v>391</v>
      </c>
    </row>
    <row r="198" spans="1:14" x14ac:dyDescent="0.25">
      <c r="A198" t="s">
        <v>358</v>
      </c>
      <c r="B198" t="s">
        <v>359</v>
      </c>
      <c r="C198">
        <v>6372.5</v>
      </c>
      <c r="D198" t="s">
        <v>425</v>
      </c>
      <c r="E198">
        <v>52.86</v>
      </c>
      <c r="F198">
        <v>182.51</v>
      </c>
      <c r="G198">
        <v>-0.0265</v>
      </c>
      <c r="H198">
        <v>-0.6032</v>
      </c>
      <c r="I198">
        <v>0.7971</v>
      </c>
      <c r="J198">
        <v>45</v>
      </c>
      <c r="K198" t="s">
        <v>391</v>
      </c>
      <c r="L198" t="s">
        <v>337</v>
      </c>
      <c r="M198" t="s">
        <v>391</v>
      </c>
      <c r="N198" t="s">
        <v>391</v>
      </c>
    </row>
    <row r="199" spans="1:14" x14ac:dyDescent="0.25">
      <c r="A199" t="s">
        <v>358</v>
      </c>
      <c r="B199" t="s">
        <v>359</v>
      </c>
      <c r="C199">
        <v>6372.67</v>
      </c>
      <c r="D199" t="s">
        <v>426</v>
      </c>
      <c r="E199">
        <v>52.69</v>
      </c>
      <c r="F199">
        <v>186.64</v>
      </c>
      <c r="G199">
        <v>-0.0701</v>
      </c>
      <c r="H199">
        <v>-0.602</v>
      </c>
      <c r="I199">
        <v>0.7954</v>
      </c>
      <c r="J199">
        <v>45</v>
      </c>
      <c r="K199" t="s">
        <v>391</v>
      </c>
      <c r="L199" t="s">
        <v>337</v>
      </c>
      <c r="M199" t="s">
        <v>391</v>
      </c>
      <c r="N199" t="s">
        <v>391</v>
      </c>
    </row>
    <row r="200" spans="1:14" x14ac:dyDescent="0.25">
      <c r="A200" t="s">
        <v>358</v>
      </c>
      <c r="B200" t="s">
        <v>359</v>
      </c>
      <c r="C200">
        <v>6372.83</v>
      </c>
      <c r="D200" t="s">
        <v>427</v>
      </c>
      <c r="E200">
        <v>52.39</v>
      </c>
      <c r="F200">
        <v>190.72</v>
      </c>
      <c r="G200">
        <v>-0.1135</v>
      </c>
      <c r="H200">
        <v>-0.5996</v>
      </c>
      <c r="I200">
        <v>0.7922</v>
      </c>
      <c r="J200">
        <v>45</v>
      </c>
      <c r="K200" t="s">
        <v>391</v>
      </c>
      <c r="L200" t="s">
        <v>337</v>
      </c>
      <c r="M200" t="s">
        <v>391</v>
      </c>
      <c r="N200" t="s">
        <v>391</v>
      </c>
    </row>
    <row r="201" spans="1:14" x14ac:dyDescent="0.25">
      <c r="A201" t="s">
        <v>358</v>
      </c>
      <c r="B201" t="s">
        <v>359</v>
      </c>
      <c r="C201">
        <v>6373</v>
      </c>
      <c r="D201" t="s">
        <v>428</v>
      </c>
      <c r="E201">
        <v>51.95</v>
      </c>
      <c r="F201">
        <v>194.74</v>
      </c>
      <c r="G201">
        <v>-0.1568</v>
      </c>
      <c r="H201">
        <v>-0.5961</v>
      </c>
      <c r="I201">
        <v>0.7875</v>
      </c>
      <c r="J201">
        <v>45</v>
      </c>
      <c r="K201" t="s">
        <v>391</v>
      </c>
      <c r="L201" t="s">
        <v>337</v>
      </c>
      <c r="M201" t="s">
        <v>391</v>
      </c>
      <c r="N201" t="s">
        <v>391</v>
      </c>
    </row>
    <row r="202" spans="1:14" x14ac:dyDescent="0.25">
      <c r="A202" t="s">
        <v>358</v>
      </c>
      <c r="B202" t="s">
        <v>359</v>
      </c>
      <c r="C202">
        <v>6373.17</v>
      </c>
      <c r="D202" t="s">
        <v>429</v>
      </c>
      <c r="E202">
        <v>51.38</v>
      </c>
      <c r="F202">
        <v>198.66</v>
      </c>
      <c r="G202">
        <v>-0.1997</v>
      </c>
      <c r="H202">
        <v>-0.5914</v>
      </c>
      <c r="I202">
        <v>0.7813</v>
      </c>
      <c r="J202">
        <v>45</v>
      </c>
      <c r="K202" t="s">
        <v>391</v>
      </c>
      <c r="L202" t="s">
        <v>337</v>
      </c>
      <c r="M202" t="s">
        <v>391</v>
      </c>
      <c r="N202" t="s">
        <v>391</v>
      </c>
    </row>
    <row r="203" spans="1:14" x14ac:dyDescent="0.25">
      <c r="A203" t="s">
        <v>358</v>
      </c>
      <c r="B203" t="s">
        <v>359</v>
      </c>
      <c r="C203">
        <v>6373.33</v>
      </c>
      <c r="D203" t="s">
        <v>430</v>
      </c>
      <c r="E203">
        <v>50.68</v>
      </c>
      <c r="F203">
        <v>202.48</v>
      </c>
      <c r="G203">
        <v>-0.2423</v>
      </c>
      <c r="H203">
        <v>-0.5856</v>
      </c>
      <c r="I203">
        <v>0.7736</v>
      </c>
      <c r="J203">
        <v>45</v>
      </c>
      <c r="K203" t="s">
        <v>391</v>
      </c>
      <c r="L203" t="s">
        <v>337</v>
      </c>
      <c r="M203" t="s">
        <v>391</v>
      </c>
      <c r="N203" t="s">
        <v>391</v>
      </c>
    </row>
    <row r="204" spans="1:14" x14ac:dyDescent="0.25">
      <c r="A204" t="s">
        <v>358</v>
      </c>
      <c r="B204" t="s">
        <v>359</v>
      </c>
      <c r="C204">
        <v>6373.5</v>
      </c>
      <c r="D204" t="s">
        <v>431</v>
      </c>
      <c r="E204">
        <v>49.85</v>
      </c>
      <c r="F204">
        <v>206.17</v>
      </c>
      <c r="G204">
        <v>-0.2844</v>
      </c>
      <c r="H204">
        <v>-0.5786</v>
      </c>
      <c r="I204">
        <v>0.7644</v>
      </c>
      <c r="J204">
        <v>45</v>
      </c>
      <c r="K204" t="s">
        <v>391</v>
      </c>
      <c r="L204" t="s">
        <v>337</v>
      </c>
      <c r="M204" t="s">
        <v>391</v>
      </c>
      <c r="N204" t="s">
        <v>391</v>
      </c>
    </row>
    <row r="205" spans="1:14" x14ac:dyDescent="0.25">
      <c r="A205" t="s">
        <v>358</v>
      </c>
      <c r="B205" t="s">
        <v>359</v>
      </c>
      <c r="C205">
        <v>6373.67</v>
      </c>
      <c r="D205" t="s">
        <v>432</v>
      </c>
      <c r="E205">
        <v>48.92</v>
      </c>
      <c r="F205">
        <v>209.74</v>
      </c>
      <c r="G205">
        <v>-0.3259</v>
      </c>
      <c r="H205">
        <v>-0.5706</v>
      </c>
      <c r="I205">
        <v>0.7538</v>
      </c>
      <c r="J205">
        <v>45</v>
      </c>
      <c r="K205" t="s">
        <v>391</v>
      </c>
      <c r="L205" t="s">
        <v>337</v>
      </c>
      <c r="M205" t="s">
        <v>391</v>
      </c>
      <c r="N205" t="s">
        <v>391</v>
      </c>
    </row>
    <row r="206" spans="1:14" x14ac:dyDescent="0.25">
      <c r="A206" t="s">
        <v>358</v>
      </c>
      <c r="B206" t="s">
        <v>359</v>
      </c>
      <c r="C206">
        <v>6373.83</v>
      </c>
      <c r="D206" t="s">
        <v>433</v>
      </c>
      <c r="E206">
        <v>47.88</v>
      </c>
      <c r="F206">
        <v>213.16</v>
      </c>
      <c r="G206">
        <v>-0.3669</v>
      </c>
      <c r="H206">
        <v>-0.5615</v>
      </c>
      <c r="I206">
        <v>0.7417</v>
      </c>
      <c r="J206">
        <v>45</v>
      </c>
      <c r="K206" t="s">
        <v>391</v>
      </c>
      <c r="L206" t="s">
        <v>337</v>
      </c>
      <c r="M206" t="s">
        <v>391</v>
      </c>
      <c r="N206" t="s">
        <v>391</v>
      </c>
    </row>
    <row r="207" spans="1:14" x14ac:dyDescent="0.25">
      <c r="A207" t="s">
        <v>358</v>
      </c>
      <c r="B207" t="s">
        <v>359</v>
      </c>
      <c r="C207">
        <v>6374</v>
      </c>
      <c r="D207" t="s">
        <v>434</v>
      </c>
      <c r="E207">
        <v>46.74</v>
      </c>
      <c r="F207">
        <v>216.45</v>
      </c>
      <c r="G207">
        <v>-0.4071</v>
      </c>
      <c r="H207">
        <v>-0.5512</v>
      </c>
      <c r="I207">
        <v>0.7283</v>
      </c>
      <c r="J207">
        <v>45</v>
      </c>
      <c r="K207" t="s">
        <v>391</v>
      </c>
      <c r="L207" t="s">
        <v>337</v>
      </c>
      <c r="M207" t="s">
        <v>391</v>
      </c>
      <c r="N207" t="s">
        <v>391</v>
      </c>
    </row>
    <row r="208" spans="1:14" x14ac:dyDescent="0.25">
      <c r="A208" t="s">
        <v>358</v>
      </c>
      <c r="B208" t="s">
        <v>359</v>
      </c>
      <c r="C208">
        <v>6374.17</v>
      </c>
      <c r="D208" t="s">
        <v>435</v>
      </c>
      <c r="E208">
        <v>45.52</v>
      </c>
      <c r="F208">
        <v>219.59</v>
      </c>
      <c r="G208">
        <v>-0.4466</v>
      </c>
      <c r="H208">
        <v>-0.54</v>
      </c>
      <c r="I208">
        <v>0.7134</v>
      </c>
      <c r="J208">
        <v>45</v>
      </c>
      <c r="K208" t="s">
        <v>391</v>
      </c>
      <c r="L208" t="s">
        <v>337</v>
      </c>
      <c r="M208" t="s">
        <v>391</v>
      </c>
      <c r="N208" t="s">
        <v>391</v>
      </c>
    </row>
    <row r="209" spans="1:14" x14ac:dyDescent="0.25">
      <c r="A209" t="s">
        <v>358</v>
      </c>
      <c r="B209" t="s">
        <v>359</v>
      </c>
      <c r="C209">
        <v>6374.33</v>
      </c>
      <c r="D209" t="s">
        <v>436</v>
      </c>
      <c r="E209">
        <v>44.21</v>
      </c>
      <c r="F209">
        <v>222.6</v>
      </c>
      <c r="G209">
        <v>-0.4852</v>
      </c>
      <c r="H209">
        <v>-0.5277</v>
      </c>
      <c r="I209">
        <v>0.6973</v>
      </c>
      <c r="J209">
        <v>45</v>
      </c>
      <c r="K209" t="s">
        <v>391</v>
      </c>
      <c r="L209" t="s">
        <v>337</v>
      </c>
      <c r="M209" t="s">
        <v>391</v>
      </c>
      <c r="N209" t="s">
        <v>391</v>
      </c>
    </row>
    <row r="210" spans="1:14" x14ac:dyDescent="0.25">
      <c r="A210" t="s">
        <v>358</v>
      </c>
      <c r="B210" t="s">
        <v>359</v>
      </c>
      <c r="C210">
        <v>6374.5</v>
      </c>
      <c r="D210" t="s">
        <v>371</v>
      </c>
      <c r="E210">
        <v>42.82</v>
      </c>
      <c r="F210">
        <v>225.47</v>
      </c>
      <c r="G210">
        <v>-0.5229</v>
      </c>
      <c r="H210">
        <v>-0.5144</v>
      </c>
      <c r="I210">
        <v>0.6797</v>
      </c>
      <c r="J210">
        <v>45</v>
      </c>
      <c r="K210" t="s">
        <v>391</v>
      </c>
      <c r="L210" t="s">
        <v>391</v>
      </c>
      <c r="M210" t="s">
        <v>337</v>
      </c>
      <c r="N210" t="s">
        <v>391</v>
      </c>
    </row>
    <row r="211" spans="1:14" x14ac:dyDescent="0.25">
      <c r="A211" t="s">
        <v>358</v>
      </c>
      <c r="B211" t="s">
        <v>359</v>
      </c>
      <c r="C211">
        <v>6374.67</v>
      </c>
      <c r="D211" t="s">
        <v>437</v>
      </c>
      <c r="E211">
        <v>41.37</v>
      </c>
      <c r="F211">
        <v>228.21</v>
      </c>
      <c r="G211">
        <v>-0.5596</v>
      </c>
      <c r="H211">
        <v>-0.5001</v>
      </c>
      <c r="I211">
        <v>0.6609</v>
      </c>
      <c r="J211">
        <v>45</v>
      </c>
      <c r="K211" t="s">
        <v>391</v>
      </c>
      <c r="L211" t="s">
        <v>391</v>
      </c>
      <c r="M211" t="s">
        <v>337</v>
      </c>
      <c r="N211" t="s">
        <v>391</v>
      </c>
    </row>
    <row r="212" spans="1:14" x14ac:dyDescent="0.25">
      <c r="A212" t="s">
        <v>358</v>
      </c>
      <c r="B212" t="s">
        <v>359</v>
      </c>
      <c r="C212">
        <v>6374.83</v>
      </c>
      <c r="D212" t="s">
        <v>438</v>
      </c>
      <c r="E212">
        <v>39.86</v>
      </c>
      <c r="F212">
        <v>230.84</v>
      </c>
      <c r="G212">
        <v>-0.5952</v>
      </c>
      <c r="H212">
        <v>-0.4848</v>
      </c>
      <c r="I212">
        <v>0.6409</v>
      </c>
      <c r="J212">
        <v>45</v>
      </c>
      <c r="K212" t="s">
        <v>391</v>
      </c>
      <c r="L212" t="s">
        <v>391</v>
      </c>
      <c r="M212" t="s">
        <v>337</v>
      </c>
      <c r="N212" t="s">
        <v>391</v>
      </c>
    </row>
    <row r="213" spans="1:14" x14ac:dyDescent="0.25">
      <c r="A213" t="s">
        <v>358</v>
      </c>
      <c r="B213" t="s">
        <v>359</v>
      </c>
      <c r="C213">
        <v>6375</v>
      </c>
      <c r="D213" t="s">
        <v>439</v>
      </c>
      <c r="E213">
        <v>38.29</v>
      </c>
      <c r="F213">
        <v>233.34</v>
      </c>
      <c r="G213">
        <v>-0.6297</v>
      </c>
      <c r="H213">
        <v>-0.4686</v>
      </c>
      <c r="I213">
        <v>0.6196</v>
      </c>
      <c r="J213">
        <v>45</v>
      </c>
      <c r="K213" t="s">
        <v>391</v>
      </c>
      <c r="L213" t="s">
        <v>391</v>
      </c>
      <c r="M213" t="s">
        <v>337</v>
      </c>
      <c r="N213" t="s">
        <v>391</v>
      </c>
    </row>
    <row r="214" spans="1:14" x14ac:dyDescent="0.25">
      <c r="A214" t="s">
        <v>358</v>
      </c>
      <c r="B214" t="s">
        <v>359</v>
      </c>
      <c r="C214">
        <v>6375.17</v>
      </c>
      <c r="D214" t="s">
        <v>440</v>
      </c>
      <c r="E214">
        <v>36.67</v>
      </c>
      <c r="F214">
        <v>235.74</v>
      </c>
      <c r="G214">
        <v>-0.663</v>
      </c>
      <c r="H214">
        <v>-0.4515</v>
      </c>
      <c r="I214">
        <v>0.5971</v>
      </c>
      <c r="J214">
        <v>45</v>
      </c>
      <c r="K214" t="s">
        <v>391</v>
      </c>
      <c r="L214" t="s">
        <v>391</v>
      </c>
      <c r="M214" t="s">
        <v>337</v>
      </c>
      <c r="N214" t="s">
        <v>391</v>
      </c>
    </row>
    <row r="215" spans="1:14" x14ac:dyDescent="0.25">
      <c r="A215" t="s">
        <v>358</v>
      </c>
      <c r="B215" t="s">
        <v>359</v>
      </c>
      <c r="C215">
        <v>6375.33</v>
      </c>
      <c r="D215" t="s">
        <v>441</v>
      </c>
      <c r="E215">
        <v>35</v>
      </c>
      <c r="F215">
        <v>238.04</v>
      </c>
      <c r="G215">
        <v>-0.695</v>
      </c>
      <c r="H215">
        <v>-0.4336</v>
      </c>
      <c r="I215">
        <v>0.5736</v>
      </c>
      <c r="J215">
        <v>45</v>
      </c>
      <c r="K215" t="s">
        <v>391</v>
      </c>
      <c r="L215" t="s">
        <v>391</v>
      </c>
      <c r="M215" t="s">
        <v>337</v>
      </c>
      <c r="N215" t="s">
        <v>391</v>
      </c>
    </row>
    <row r="216" spans="1:14" x14ac:dyDescent="0.25">
      <c r="A216" t="s">
        <v>358</v>
      </c>
      <c r="B216" t="s">
        <v>359</v>
      </c>
      <c r="C216">
        <v>6375.5</v>
      </c>
      <c r="D216" t="s">
        <v>442</v>
      </c>
      <c r="E216">
        <v>33.29</v>
      </c>
      <c r="F216">
        <v>240.25</v>
      </c>
      <c r="G216">
        <v>-0.7257</v>
      </c>
      <c r="H216">
        <v>-0.4148</v>
      </c>
      <c r="I216">
        <v>0.5489</v>
      </c>
      <c r="J216">
        <v>45</v>
      </c>
      <c r="K216" t="s">
        <v>391</v>
      </c>
      <c r="L216" t="s">
        <v>391</v>
      </c>
      <c r="M216" t="s">
        <v>337</v>
      </c>
      <c r="N216" t="s">
        <v>391</v>
      </c>
    </row>
    <row r="217" spans="1:14" x14ac:dyDescent="0.25">
      <c r="A217" t="s">
        <v>358</v>
      </c>
      <c r="B217" t="s">
        <v>359</v>
      </c>
      <c r="C217">
        <v>6375.67</v>
      </c>
      <c r="D217" t="s">
        <v>443</v>
      </c>
      <c r="E217">
        <v>31.54</v>
      </c>
      <c r="F217">
        <v>242.37</v>
      </c>
      <c r="G217">
        <v>-0.755</v>
      </c>
      <c r="H217">
        <v>-0.3952</v>
      </c>
      <c r="I217">
        <v>0.5232</v>
      </c>
      <c r="J217">
        <v>45</v>
      </c>
      <c r="K217" t="s">
        <v>391</v>
      </c>
      <c r="L217" t="s">
        <v>391</v>
      </c>
      <c r="M217" t="s">
        <v>337</v>
      </c>
      <c r="N217" t="s">
        <v>391</v>
      </c>
    </row>
    <row r="218" spans="1:14" x14ac:dyDescent="0.25">
      <c r="A218" t="s">
        <v>358</v>
      </c>
      <c r="B218" t="s">
        <v>359</v>
      </c>
      <c r="C218">
        <v>6375.83</v>
      </c>
      <c r="D218" t="s">
        <v>444</v>
      </c>
      <c r="E218">
        <v>29.77</v>
      </c>
      <c r="F218">
        <v>244.41</v>
      </c>
      <c r="G218">
        <v>-0.7829</v>
      </c>
      <c r="H218">
        <v>-0.3749</v>
      </c>
      <c r="I218">
        <v>0.4965</v>
      </c>
      <c r="J218">
        <v>45</v>
      </c>
      <c r="K218" t="s">
        <v>391</v>
      </c>
      <c r="L218" t="s">
        <v>391</v>
      </c>
      <c r="M218" t="s">
        <v>337</v>
      </c>
      <c r="N218" t="s">
        <v>391</v>
      </c>
    </row>
    <row r="219" spans="1:14" x14ac:dyDescent="0.25">
      <c r="A219" t="s">
        <v>358</v>
      </c>
      <c r="B219" t="s">
        <v>359</v>
      </c>
      <c r="C219">
        <v>6376</v>
      </c>
      <c r="D219" t="s">
        <v>445</v>
      </c>
      <c r="E219">
        <v>27.96</v>
      </c>
      <c r="F219">
        <v>246.38</v>
      </c>
      <c r="G219">
        <v>-0.8093</v>
      </c>
      <c r="H219">
        <v>-0.3539</v>
      </c>
      <c r="I219">
        <v>0.4688</v>
      </c>
      <c r="J219">
        <v>45</v>
      </c>
      <c r="K219" t="s">
        <v>391</v>
      </c>
      <c r="L219" t="s">
        <v>391</v>
      </c>
      <c r="M219" t="s">
        <v>337</v>
      </c>
      <c r="N219" t="s">
        <v>391</v>
      </c>
    </row>
    <row r="220" spans="1:14" x14ac:dyDescent="0.25">
      <c r="A220" t="s">
        <v>358</v>
      </c>
      <c r="B220" t="s">
        <v>359</v>
      </c>
      <c r="C220">
        <v>6376.17</v>
      </c>
      <c r="D220" t="s">
        <v>446</v>
      </c>
      <c r="E220">
        <v>26.12</v>
      </c>
      <c r="F220">
        <v>248.29</v>
      </c>
      <c r="G220">
        <v>-0.8342</v>
      </c>
      <c r="H220">
        <v>-0.3321</v>
      </c>
      <c r="I220">
        <v>0.4403</v>
      </c>
      <c r="J220">
        <v>45</v>
      </c>
      <c r="K220" t="s">
        <v>391</v>
      </c>
      <c r="L220" t="s">
        <v>391</v>
      </c>
      <c r="M220" t="s">
        <v>337</v>
      </c>
      <c r="N220" t="s">
        <v>391</v>
      </c>
    </row>
    <row r="221" spans="1:14" x14ac:dyDescent="0.25">
      <c r="A221" t="s">
        <v>358</v>
      </c>
      <c r="B221" t="s">
        <v>359</v>
      </c>
      <c r="C221">
        <v>6376.33</v>
      </c>
      <c r="D221" t="s">
        <v>447</v>
      </c>
      <c r="E221">
        <v>24.26</v>
      </c>
      <c r="F221">
        <v>250.14</v>
      </c>
      <c r="G221">
        <v>-0.8575</v>
      </c>
      <c r="H221">
        <v>-0.3098</v>
      </c>
      <c r="I221">
        <v>0.4109</v>
      </c>
      <c r="J221">
        <v>45</v>
      </c>
      <c r="K221" t="s">
        <v>391</v>
      </c>
      <c r="L221" t="s">
        <v>391</v>
      </c>
      <c r="M221" t="s">
        <v>337</v>
      </c>
      <c r="N221" t="s">
        <v>391</v>
      </c>
    </row>
    <row r="222" spans="1:14" x14ac:dyDescent="0.25">
      <c r="A222" t="s">
        <v>358</v>
      </c>
      <c r="B222" t="s">
        <v>359</v>
      </c>
      <c r="C222">
        <v>6376.5</v>
      </c>
      <c r="D222" t="s">
        <v>448</v>
      </c>
      <c r="E222">
        <v>22.38</v>
      </c>
      <c r="F222">
        <v>251.93</v>
      </c>
      <c r="G222">
        <v>-0.8791</v>
      </c>
      <c r="H222">
        <v>-0.2868</v>
      </c>
      <c r="I222">
        <v>0.3807</v>
      </c>
      <c r="J222">
        <v>45</v>
      </c>
      <c r="K222" t="s">
        <v>391</v>
      </c>
      <c r="L222" t="s">
        <v>391</v>
      </c>
      <c r="M222" t="s">
        <v>337</v>
      </c>
      <c r="N222" t="s">
        <v>391</v>
      </c>
    </row>
    <row r="223" spans="1:14" x14ac:dyDescent="0.25">
      <c r="A223" t="s">
        <v>358</v>
      </c>
      <c r="B223" t="s">
        <v>359</v>
      </c>
      <c r="C223">
        <v>6376.67</v>
      </c>
      <c r="D223" t="s">
        <v>449</v>
      </c>
      <c r="E223">
        <v>20.48</v>
      </c>
      <c r="F223">
        <v>253.68</v>
      </c>
      <c r="G223">
        <v>-0.899</v>
      </c>
      <c r="H223">
        <v>-0.2633</v>
      </c>
      <c r="I223">
        <v>0.3499</v>
      </c>
      <c r="J223">
        <v>45</v>
      </c>
      <c r="K223" t="s">
        <v>391</v>
      </c>
      <c r="L223" t="s">
        <v>391</v>
      </c>
      <c r="M223" t="s">
        <v>337</v>
      </c>
      <c r="N223" t="s">
        <v>391</v>
      </c>
    </row>
    <row r="224" spans="1:14" x14ac:dyDescent="0.25">
      <c r="A224" t="s">
        <v>358</v>
      </c>
      <c r="B224" t="s">
        <v>359</v>
      </c>
      <c r="C224">
        <v>6376.83</v>
      </c>
      <c r="D224" t="s">
        <v>450</v>
      </c>
      <c r="E224">
        <v>18.56</v>
      </c>
      <c r="F224">
        <v>255.38</v>
      </c>
      <c r="G224">
        <v>-0.9173</v>
      </c>
      <c r="H224">
        <v>-0.2393</v>
      </c>
      <c r="I224">
        <v>0.3183</v>
      </c>
      <c r="J224">
        <v>45</v>
      </c>
      <c r="K224" t="s">
        <v>391</v>
      </c>
      <c r="L224" t="s">
        <v>391</v>
      </c>
      <c r="M224" t="s">
        <v>337</v>
      </c>
      <c r="N224" t="s">
        <v>391</v>
      </c>
    </row>
    <row r="225" spans="1:14" x14ac:dyDescent="0.25">
      <c r="A225" t="s">
        <v>358</v>
      </c>
      <c r="B225" t="s">
        <v>359</v>
      </c>
      <c r="C225">
        <v>6377</v>
      </c>
      <c r="D225" t="s">
        <v>451</v>
      </c>
      <c r="E225">
        <v>16.63</v>
      </c>
      <c r="F225">
        <v>257.05</v>
      </c>
      <c r="G225">
        <v>-0.9338</v>
      </c>
      <c r="H225">
        <v>-0.2148</v>
      </c>
      <c r="I225">
        <v>0.2862</v>
      </c>
      <c r="J225">
        <v>45</v>
      </c>
      <c r="K225" t="s">
        <v>391</v>
      </c>
      <c r="L225" t="s">
        <v>391</v>
      </c>
      <c r="M225" t="s">
        <v>337</v>
      </c>
      <c r="N225" t="s">
        <v>391</v>
      </c>
    </row>
    <row r="226" spans="1:14" x14ac:dyDescent="0.25">
      <c r="A226" t="s">
        <v>358</v>
      </c>
      <c r="B226" t="s">
        <v>359</v>
      </c>
      <c r="C226">
        <v>6377.17</v>
      </c>
      <c r="D226" t="s">
        <v>452</v>
      </c>
      <c r="E226">
        <v>14.68</v>
      </c>
      <c r="F226">
        <v>258.68</v>
      </c>
      <c r="G226">
        <v>-0.9485</v>
      </c>
      <c r="H226">
        <v>-0.1899</v>
      </c>
      <c r="I226">
        <v>0.2535</v>
      </c>
      <c r="J226">
        <v>45</v>
      </c>
      <c r="K226" t="s">
        <v>391</v>
      </c>
      <c r="L226" t="s">
        <v>391</v>
      </c>
      <c r="M226" t="s">
        <v>337</v>
      </c>
      <c r="N226" t="s">
        <v>391</v>
      </c>
    </row>
    <row r="227" spans="1:14" x14ac:dyDescent="0.25">
      <c r="A227" t="s">
        <v>358</v>
      </c>
      <c r="B227" t="s">
        <v>359</v>
      </c>
      <c r="C227">
        <v>6377.33</v>
      </c>
      <c r="D227" t="s">
        <v>453</v>
      </c>
      <c r="E227">
        <v>12.73</v>
      </c>
      <c r="F227">
        <v>260.28</v>
      </c>
      <c r="G227">
        <v>-0.9614</v>
      </c>
      <c r="H227">
        <v>-0.1646</v>
      </c>
      <c r="I227">
        <v>0.2203</v>
      </c>
      <c r="J227">
        <v>45</v>
      </c>
      <c r="K227" t="s">
        <v>391</v>
      </c>
      <c r="L227" t="s">
        <v>391</v>
      </c>
      <c r="M227" t="s">
        <v>337</v>
      </c>
      <c r="N227" t="s">
        <v>391</v>
      </c>
    </row>
    <row r="228" spans="1:14" x14ac:dyDescent="0.25">
      <c r="A228" t="s">
        <v>358</v>
      </c>
      <c r="B228" t="s">
        <v>359</v>
      </c>
      <c r="C228">
        <v>6377.5</v>
      </c>
      <c r="D228" t="s">
        <v>454</v>
      </c>
      <c r="E228">
        <v>10.76</v>
      </c>
      <c r="F228">
        <v>261.86</v>
      </c>
      <c r="G228">
        <v>-0.9725</v>
      </c>
      <c r="H228">
        <v>-0.1391</v>
      </c>
      <c r="I228">
        <v>0.1867</v>
      </c>
      <c r="J228">
        <v>45</v>
      </c>
      <c r="K228" t="s">
        <v>391</v>
      </c>
      <c r="L228" t="s">
        <v>391</v>
      </c>
      <c r="M228" t="s">
        <v>337</v>
      </c>
      <c r="N228" t="s">
        <v>391</v>
      </c>
    </row>
    <row r="229" spans="1:14" x14ac:dyDescent="0.25">
      <c r="A229" t="s">
        <v>358</v>
      </c>
      <c r="B229" t="s">
        <v>359</v>
      </c>
      <c r="C229">
        <v>6377.67</v>
      </c>
      <c r="D229" t="s">
        <v>455</v>
      </c>
      <c r="E229">
        <v>8.79</v>
      </c>
      <c r="F229">
        <v>263.42</v>
      </c>
      <c r="G229">
        <v>-0.9817</v>
      </c>
      <c r="H229">
        <v>-0.1132</v>
      </c>
      <c r="I229">
        <v>0.1528</v>
      </c>
      <c r="J229">
        <v>45</v>
      </c>
      <c r="K229" t="s">
        <v>391</v>
      </c>
      <c r="L229" t="s">
        <v>391</v>
      </c>
      <c r="M229" t="s">
        <v>337</v>
      </c>
      <c r="N229" t="s">
        <v>391</v>
      </c>
    </row>
    <row r="230" spans="1:14" x14ac:dyDescent="0.25">
      <c r="A230" t="s">
        <v>358</v>
      </c>
      <c r="B230" t="s">
        <v>359</v>
      </c>
      <c r="C230">
        <v>6377.83</v>
      </c>
      <c r="D230" t="s">
        <v>456</v>
      </c>
      <c r="E230">
        <v>6.81</v>
      </c>
      <c r="F230">
        <v>264.96</v>
      </c>
      <c r="G230">
        <v>-0.9891</v>
      </c>
      <c r="H230">
        <v>-0.0872</v>
      </c>
      <c r="I230">
        <v>0.1186</v>
      </c>
      <c r="J230">
        <v>45</v>
      </c>
      <c r="K230" t="s">
        <v>391</v>
      </c>
      <c r="L230" t="s">
        <v>391</v>
      </c>
      <c r="M230" t="s">
        <v>337</v>
      </c>
      <c r="N230" t="s">
        <v>391</v>
      </c>
    </row>
    <row r="231" spans="1:14" x14ac:dyDescent="0.25">
      <c r="A231" t="s">
        <v>358</v>
      </c>
      <c r="B231" t="s">
        <v>359</v>
      </c>
      <c r="C231">
        <v>6378</v>
      </c>
      <c r="D231" t="s">
        <v>365</v>
      </c>
      <c r="E231">
        <v>4.83</v>
      </c>
      <c r="F231">
        <v>266.49</v>
      </c>
      <c r="G231">
        <v>-0.9946</v>
      </c>
      <c r="H231">
        <v>-0.0609</v>
      </c>
      <c r="I231">
        <v>0.0842</v>
      </c>
      <c r="J231">
        <v>45</v>
      </c>
      <c r="K231" t="s">
        <v>391</v>
      </c>
      <c r="L231" t="s">
        <v>391</v>
      </c>
      <c r="M231" t="s">
        <v>391</v>
      </c>
      <c r="N231" t="s">
        <v>391</v>
      </c>
    </row>
    <row r="232" spans="1:14" x14ac:dyDescent="0.25">
      <c r="A232" t="s">
        <v>358</v>
      </c>
      <c r="B232" t="s">
        <v>359</v>
      </c>
      <c r="C232">
        <v>6378.17</v>
      </c>
      <c r="D232" t="s">
        <v>457</v>
      </c>
      <c r="E232">
        <v>2.84</v>
      </c>
      <c r="F232">
        <v>268.02</v>
      </c>
      <c r="G232">
        <v>-0.9982</v>
      </c>
      <c r="H232">
        <v>-0.0346</v>
      </c>
      <c r="I232">
        <v>0.0496</v>
      </c>
      <c r="J232">
        <v>45</v>
      </c>
      <c r="K232" t="s">
        <v>391</v>
      </c>
      <c r="L232" t="s">
        <v>391</v>
      </c>
      <c r="M232" t="s">
        <v>391</v>
      </c>
      <c r="N232" t="s">
        <v>391</v>
      </c>
    </row>
    <row r="233" spans="1:14" x14ac:dyDescent="0.25">
      <c r="A233" t="s">
        <v>358</v>
      </c>
      <c r="B233" t="s">
        <v>359</v>
      </c>
      <c r="C233">
        <v>6378.33</v>
      </c>
      <c r="D233" t="s">
        <v>458</v>
      </c>
      <c r="E233">
        <v>0.85</v>
      </c>
      <c r="F233">
        <v>269.53</v>
      </c>
      <c r="G233">
        <v>-0.9999</v>
      </c>
      <c r="H233">
        <v>-0.0081</v>
      </c>
      <c r="I233">
        <v>0.0149</v>
      </c>
      <c r="J233">
        <v>45</v>
      </c>
      <c r="K233" t="s">
        <v>391</v>
      </c>
      <c r="L233" t="s">
        <v>391</v>
      </c>
      <c r="M233" t="s">
        <v>391</v>
      </c>
      <c r="N233" t="s">
        <v>391</v>
      </c>
    </row>
    <row r="234" spans="1:14" x14ac:dyDescent="0.25">
      <c r="A234" t="s">
        <v>366</v>
      </c>
      <c r="B234" t="s">
        <v>367</v>
      </c>
      <c r="C234">
        <v>8503.83</v>
      </c>
      <c r="D234" t="s">
        <v>398</v>
      </c>
      <c r="E234">
        <v>0.59</v>
      </c>
      <c r="F234">
        <v>120.52</v>
      </c>
      <c r="G234">
        <v>0.8614</v>
      </c>
      <c r="H234">
        <v>-0.5079</v>
      </c>
      <c r="I234">
        <v>0.0103</v>
      </c>
      <c r="J234">
        <v>30</v>
      </c>
      <c r="K234" t="s">
        <v>391</v>
      </c>
      <c r="L234" t="s">
        <v>391</v>
      </c>
      <c r="M234" t="s">
        <v>391</v>
      </c>
      <c r="N234" t="s">
        <v>391</v>
      </c>
    </row>
    <row r="235" spans="1:14" x14ac:dyDescent="0.25">
      <c r="A235" t="s">
        <v>366</v>
      </c>
      <c r="B235" t="s">
        <v>367</v>
      </c>
      <c r="C235">
        <v>8504</v>
      </c>
      <c r="D235" t="s">
        <v>399</v>
      </c>
      <c r="E235">
        <v>2.29</v>
      </c>
      <c r="F235">
        <v>122.07</v>
      </c>
      <c r="G235">
        <v>0.8468</v>
      </c>
      <c r="H235">
        <v>-0.5305</v>
      </c>
      <c r="I235">
        <v>0.0399</v>
      </c>
      <c r="J235">
        <v>30</v>
      </c>
      <c r="K235" t="s">
        <v>391</v>
      </c>
      <c r="L235" t="s">
        <v>391</v>
      </c>
      <c r="M235" t="s">
        <v>391</v>
      </c>
      <c r="N235" t="s">
        <v>391</v>
      </c>
    </row>
    <row r="236" spans="1:14" x14ac:dyDescent="0.25">
      <c r="A236" t="s">
        <v>366</v>
      </c>
      <c r="B236" t="s">
        <v>367</v>
      </c>
      <c r="C236">
        <v>8504.17</v>
      </c>
      <c r="D236" t="s">
        <v>400</v>
      </c>
      <c r="E236">
        <v>3.96</v>
      </c>
      <c r="F236">
        <v>123.64</v>
      </c>
      <c r="G236">
        <v>0.8305</v>
      </c>
      <c r="H236">
        <v>-0.5527</v>
      </c>
      <c r="I236">
        <v>0.069</v>
      </c>
      <c r="J236">
        <v>30</v>
      </c>
      <c r="K236" t="s">
        <v>391</v>
      </c>
      <c r="L236" t="s">
        <v>391</v>
      </c>
      <c r="M236" t="s">
        <v>391</v>
      </c>
      <c r="N236" t="s">
        <v>391</v>
      </c>
    </row>
    <row r="237" spans="1:14" x14ac:dyDescent="0.25">
      <c r="A237" t="s">
        <v>366</v>
      </c>
      <c r="B237" t="s">
        <v>367</v>
      </c>
      <c r="C237">
        <v>8504.33</v>
      </c>
      <c r="D237" t="s">
        <v>401</v>
      </c>
      <c r="E237">
        <v>5.59</v>
      </c>
      <c r="F237">
        <v>125.25</v>
      </c>
      <c r="G237">
        <v>0.8127</v>
      </c>
      <c r="H237">
        <v>-0.5744</v>
      </c>
      <c r="I237">
        <v>0.0975</v>
      </c>
      <c r="J237">
        <v>30</v>
      </c>
      <c r="K237" t="s">
        <v>391</v>
      </c>
      <c r="L237" t="s">
        <v>391</v>
      </c>
      <c r="M237" t="s">
        <v>391</v>
      </c>
      <c r="N237" t="s">
        <v>391</v>
      </c>
    </row>
    <row r="238" spans="1:14" x14ac:dyDescent="0.25">
      <c r="A238" t="s">
        <v>366</v>
      </c>
      <c r="B238" t="s">
        <v>367</v>
      </c>
      <c r="C238">
        <v>8504.5</v>
      </c>
      <c r="D238" t="s">
        <v>402</v>
      </c>
      <c r="E238">
        <v>7.2</v>
      </c>
      <c r="F238">
        <v>126.9</v>
      </c>
      <c r="G238">
        <v>0.7934</v>
      </c>
      <c r="H238">
        <v>-0.5957</v>
      </c>
      <c r="I238">
        <v>0.1253</v>
      </c>
      <c r="J238">
        <v>30</v>
      </c>
      <c r="K238" t="s">
        <v>391</v>
      </c>
      <c r="L238" t="s">
        <v>391</v>
      </c>
      <c r="M238" t="s">
        <v>391</v>
      </c>
      <c r="N238" t="s">
        <v>391</v>
      </c>
    </row>
    <row r="239" spans="1:14" x14ac:dyDescent="0.25">
      <c r="A239" t="s">
        <v>366</v>
      </c>
      <c r="B239" t="s">
        <v>367</v>
      </c>
      <c r="C239">
        <v>8504.67</v>
      </c>
      <c r="D239" t="s">
        <v>403</v>
      </c>
      <c r="E239">
        <v>8.77</v>
      </c>
      <c r="F239">
        <v>128.59</v>
      </c>
      <c r="G239">
        <v>0.7725</v>
      </c>
      <c r="H239">
        <v>-0.6164</v>
      </c>
      <c r="I239">
        <v>0.1525</v>
      </c>
      <c r="J239">
        <v>30</v>
      </c>
      <c r="K239" t="s">
        <v>391</v>
      </c>
      <c r="L239" t="s">
        <v>391</v>
      </c>
      <c r="M239" t="s">
        <v>391</v>
      </c>
      <c r="N239" t="s">
        <v>391</v>
      </c>
    </row>
    <row r="240" spans="1:14" x14ac:dyDescent="0.25">
      <c r="A240" t="s">
        <v>366</v>
      </c>
      <c r="B240" t="s">
        <v>367</v>
      </c>
      <c r="C240">
        <v>8504.83</v>
      </c>
      <c r="D240" t="s">
        <v>404</v>
      </c>
      <c r="E240">
        <v>10.3</v>
      </c>
      <c r="F240">
        <v>130.32</v>
      </c>
      <c r="G240">
        <v>0.7502</v>
      </c>
      <c r="H240">
        <v>-0.6366</v>
      </c>
      <c r="I240">
        <v>0.1789</v>
      </c>
      <c r="J240">
        <v>30</v>
      </c>
      <c r="K240" t="s">
        <v>391</v>
      </c>
      <c r="L240" t="s">
        <v>391</v>
      </c>
      <c r="M240" t="s">
        <v>391</v>
      </c>
      <c r="N240" t="s">
        <v>391</v>
      </c>
    </row>
    <row r="241" spans="1:14" x14ac:dyDescent="0.25">
      <c r="A241" t="s">
        <v>366</v>
      </c>
      <c r="B241" t="s">
        <v>367</v>
      </c>
      <c r="C241">
        <v>8505</v>
      </c>
      <c r="D241" t="s">
        <v>405</v>
      </c>
      <c r="E241">
        <v>11.8</v>
      </c>
      <c r="F241">
        <v>132.09</v>
      </c>
      <c r="G241">
        <v>0.7264</v>
      </c>
      <c r="H241">
        <v>-0.6561</v>
      </c>
      <c r="I241">
        <v>0.2045</v>
      </c>
      <c r="J241">
        <v>30</v>
      </c>
      <c r="K241" t="s">
        <v>391</v>
      </c>
      <c r="L241" t="s">
        <v>391</v>
      </c>
      <c r="M241" t="s">
        <v>391</v>
      </c>
      <c r="N241" t="s">
        <v>391</v>
      </c>
    </row>
    <row r="242" spans="1:14" x14ac:dyDescent="0.25">
      <c r="A242" t="s">
        <v>366</v>
      </c>
      <c r="B242" t="s">
        <v>367</v>
      </c>
      <c r="C242">
        <v>8505.17</v>
      </c>
      <c r="D242" t="s">
        <v>406</v>
      </c>
      <c r="E242">
        <v>13.25</v>
      </c>
      <c r="F242">
        <v>133.91</v>
      </c>
      <c r="G242">
        <v>0.7013</v>
      </c>
      <c r="H242">
        <v>-0.675</v>
      </c>
      <c r="I242">
        <v>0.2292</v>
      </c>
      <c r="J242">
        <v>30</v>
      </c>
      <c r="K242" t="s">
        <v>391</v>
      </c>
      <c r="L242" t="s">
        <v>391</v>
      </c>
      <c r="M242" t="s">
        <v>391</v>
      </c>
      <c r="N242" t="s">
        <v>391</v>
      </c>
    </row>
    <row r="243" spans="1:14" x14ac:dyDescent="0.25">
      <c r="A243" t="s">
        <v>366</v>
      </c>
      <c r="B243" t="s">
        <v>367</v>
      </c>
      <c r="C243">
        <v>8505.33</v>
      </c>
      <c r="D243" t="s">
        <v>407</v>
      </c>
      <c r="E243">
        <v>14.66</v>
      </c>
      <c r="F243">
        <v>135.77</v>
      </c>
      <c r="G243">
        <v>0.6748</v>
      </c>
      <c r="H243">
        <v>-0.6932</v>
      </c>
      <c r="I243">
        <v>0.2531</v>
      </c>
      <c r="J243">
        <v>30</v>
      </c>
      <c r="K243" t="s">
        <v>391</v>
      </c>
      <c r="L243" t="s">
        <v>391</v>
      </c>
      <c r="M243" t="s">
        <v>391</v>
      </c>
      <c r="N243" t="s">
        <v>391</v>
      </c>
    </row>
    <row r="244" spans="1:14" x14ac:dyDescent="0.25">
      <c r="A244" t="s">
        <v>366</v>
      </c>
      <c r="B244" t="s">
        <v>367</v>
      </c>
      <c r="C244">
        <v>8505.5</v>
      </c>
      <c r="D244" t="s">
        <v>408</v>
      </c>
      <c r="E244">
        <v>16.02</v>
      </c>
      <c r="F244">
        <v>137.69</v>
      </c>
      <c r="G244">
        <v>0.647</v>
      </c>
      <c r="H244">
        <v>-0.7107</v>
      </c>
      <c r="I244">
        <v>0.276</v>
      </c>
      <c r="J244">
        <v>30</v>
      </c>
      <c r="K244" t="s">
        <v>391</v>
      </c>
      <c r="L244" t="s">
        <v>391</v>
      </c>
      <c r="M244" t="s">
        <v>391</v>
      </c>
      <c r="N244" t="s">
        <v>391</v>
      </c>
    </row>
    <row r="245" spans="1:14" x14ac:dyDescent="0.25">
      <c r="A245" t="s">
        <v>366</v>
      </c>
      <c r="B245" t="s">
        <v>367</v>
      </c>
      <c r="C245">
        <v>8505.67</v>
      </c>
      <c r="D245" t="s">
        <v>409</v>
      </c>
      <c r="E245">
        <v>17.33</v>
      </c>
      <c r="F245">
        <v>139.65</v>
      </c>
      <c r="G245">
        <v>0.6181</v>
      </c>
      <c r="H245">
        <v>-0.7275</v>
      </c>
      <c r="I245">
        <v>0.2979</v>
      </c>
      <c r="J245">
        <v>30</v>
      </c>
      <c r="K245" t="s">
        <v>391</v>
      </c>
      <c r="L245" t="s">
        <v>391</v>
      </c>
      <c r="M245" t="s">
        <v>391</v>
      </c>
      <c r="N245" t="s">
        <v>391</v>
      </c>
    </row>
    <row r="246" spans="1:14" x14ac:dyDescent="0.25">
      <c r="A246" t="s">
        <v>366</v>
      </c>
      <c r="B246" t="s">
        <v>367</v>
      </c>
      <c r="C246">
        <v>8505.83</v>
      </c>
      <c r="D246" t="s">
        <v>410</v>
      </c>
      <c r="E246">
        <v>18.59</v>
      </c>
      <c r="F246">
        <v>141.66</v>
      </c>
      <c r="G246">
        <v>0.5879</v>
      </c>
      <c r="H246">
        <v>-0.7434</v>
      </c>
      <c r="I246">
        <v>0.3188</v>
      </c>
      <c r="J246">
        <v>30</v>
      </c>
      <c r="K246" t="s">
        <v>391</v>
      </c>
      <c r="L246" t="s">
        <v>391</v>
      </c>
      <c r="M246" t="s">
        <v>391</v>
      </c>
      <c r="N246" t="s">
        <v>391</v>
      </c>
    </row>
    <row r="247" spans="1:14" x14ac:dyDescent="0.25">
      <c r="A247" t="s">
        <v>366</v>
      </c>
      <c r="B247" t="s">
        <v>367</v>
      </c>
      <c r="C247">
        <v>8506</v>
      </c>
      <c r="D247" t="s">
        <v>411</v>
      </c>
      <c r="E247">
        <v>19.8</v>
      </c>
      <c r="F247">
        <v>143.73</v>
      </c>
      <c r="G247">
        <v>0.5566</v>
      </c>
      <c r="H247">
        <v>-0.7586</v>
      </c>
      <c r="I247">
        <v>0.3387</v>
      </c>
      <c r="J247">
        <v>30</v>
      </c>
      <c r="K247" t="s">
        <v>391</v>
      </c>
      <c r="L247" t="s">
        <v>391</v>
      </c>
      <c r="M247" t="s">
        <v>391</v>
      </c>
      <c r="N247" t="s">
        <v>391</v>
      </c>
    </row>
    <row r="248" spans="1:14" x14ac:dyDescent="0.25">
      <c r="A248" t="s">
        <v>366</v>
      </c>
      <c r="B248" t="s">
        <v>367</v>
      </c>
      <c r="C248">
        <v>8506.17</v>
      </c>
      <c r="D248" t="s">
        <v>412</v>
      </c>
      <c r="E248">
        <v>20.94</v>
      </c>
      <c r="F248">
        <v>145.85</v>
      </c>
      <c r="G248">
        <v>0.5243</v>
      </c>
      <c r="H248">
        <v>-0.7729</v>
      </c>
      <c r="I248">
        <v>0.3574</v>
      </c>
      <c r="J248">
        <v>30</v>
      </c>
      <c r="K248" t="s">
        <v>391</v>
      </c>
      <c r="L248" t="s">
        <v>391</v>
      </c>
      <c r="M248" t="s">
        <v>391</v>
      </c>
      <c r="N248" t="s">
        <v>391</v>
      </c>
    </row>
    <row r="249" spans="1:14" x14ac:dyDescent="0.25">
      <c r="A249" t="s">
        <v>366</v>
      </c>
      <c r="B249" t="s">
        <v>367</v>
      </c>
      <c r="C249">
        <v>8506.33</v>
      </c>
      <c r="D249" t="s">
        <v>361</v>
      </c>
      <c r="E249">
        <v>22.03</v>
      </c>
      <c r="F249">
        <v>148.02</v>
      </c>
      <c r="G249">
        <v>0.4909</v>
      </c>
      <c r="H249">
        <v>-0.7863</v>
      </c>
      <c r="I249">
        <v>0.375</v>
      </c>
      <c r="J249">
        <v>30</v>
      </c>
      <c r="K249" t="s">
        <v>391</v>
      </c>
      <c r="L249" t="s">
        <v>391</v>
      </c>
      <c r="M249" t="s">
        <v>391</v>
      </c>
      <c r="N249" t="s">
        <v>391</v>
      </c>
    </row>
    <row r="250" spans="1:14" x14ac:dyDescent="0.25">
      <c r="A250" t="s">
        <v>366</v>
      </c>
      <c r="B250" t="s">
        <v>367</v>
      </c>
      <c r="C250">
        <v>8506.5</v>
      </c>
      <c r="D250" t="s">
        <v>413</v>
      </c>
      <c r="E250">
        <v>23.05</v>
      </c>
      <c r="F250">
        <v>150.25</v>
      </c>
      <c r="G250">
        <v>0.4567</v>
      </c>
      <c r="H250">
        <v>-0.7989</v>
      </c>
      <c r="I250">
        <v>0.3915</v>
      </c>
      <c r="J250">
        <v>30</v>
      </c>
      <c r="K250" t="s">
        <v>391</v>
      </c>
      <c r="L250" t="s">
        <v>337</v>
      </c>
      <c r="M250" t="s">
        <v>391</v>
      </c>
      <c r="N250" t="s">
        <v>391</v>
      </c>
    </row>
    <row r="251" spans="1:14" x14ac:dyDescent="0.25">
      <c r="A251" t="s">
        <v>366</v>
      </c>
      <c r="B251" t="s">
        <v>367</v>
      </c>
      <c r="C251">
        <v>8506.67</v>
      </c>
      <c r="D251" t="s">
        <v>414</v>
      </c>
      <c r="E251">
        <v>24</v>
      </c>
      <c r="F251">
        <v>152.52</v>
      </c>
      <c r="G251">
        <v>0.4215</v>
      </c>
      <c r="H251">
        <v>-0.8105</v>
      </c>
      <c r="I251">
        <v>0.4067</v>
      </c>
      <c r="J251">
        <v>30</v>
      </c>
      <c r="K251" t="s">
        <v>391</v>
      </c>
      <c r="L251" t="s">
        <v>337</v>
      </c>
      <c r="M251" t="s">
        <v>391</v>
      </c>
      <c r="N251" t="s">
        <v>391</v>
      </c>
    </row>
    <row r="252" spans="1:14" x14ac:dyDescent="0.25">
      <c r="A252" t="s">
        <v>366</v>
      </c>
      <c r="B252" t="s">
        <v>367</v>
      </c>
      <c r="C252">
        <v>8506.83</v>
      </c>
      <c r="D252" t="s">
        <v>415</v>
      </c>
      <c r="E252">
        <v>24.88</v>
      </c>
      <c r="F252">
        <v>154.85</v>
      </c>
      <c r="G252">
        <v>0.3856</v>
      </c>
      <c r="H252">
        <v>-0.8212</v>
      </c>
      <c r="I252">
        <v>0.4207</v>
      </c>
      <c r="J252">
        <v>30</v>
      </c>
      <c r="K252" t="s">
        <v>391</v>
      </c>
      <c r="L252" t="s">
        <v>337</v>
      </c>
      <c r="M252" t="s">
        <v>391</v>
      </c>
      <c r="N252" t="s">
        <v>391</v>
      </c>
    </row>
    <row r="253" spans="1:14" x14ac:dyDescent="0.25">
      <c r="A253" t="s">
        <v>366</v>
      </c>
      <c r="B253" t="s">
        <v>367</v>
      </c>
      <c r="C253">
        <v>8507</v>
      </c>
      <c r="D253" t="s">
        <v>416</v>
      </c>
      <c r="E253">
        <v>25.68</v>
      </c>
      <c r="F253">
        <v>157.22</v>
      </c>
      <c r="G253">
        <v>0.3489</v>
      </c>
      <c r="H253">
        <v>-0.8309</v>
      </c>
      <c r="I253">
        <v>0.4334</v>
      </c>
      <c r="J253">
        <v>30</v>
      </c>
      <c r="K253" t="s">
        <v>391</v>
      </c>
      <c r="L253" t="s">
        <v>337</v>
      </c>
      <c r="M253" t="s">
        <v>391</v>
      </c>
      <c r="N253" t="s">
        <v>391</v>
      </c>
    </row>
    <row r="254" spans="1:14" x14ac:dyDescent="0.25">
      <c r="A254" t="s">
        <v>366</v>
      </c>
      <c r="B254" t="s">
        <v>367</v>
      </c>
      <c r="C254">
        <v>8507.17</v>
      </c>
      <c r="D254" t="s">
        <v>417</v>
      </c>
      <c r="E254">
        <v>26.41</v>
      </c>
      <c r="F254">
        <v>159.64</v>
      </c>
      <c r="G254">
        <v>0.3116</v>
      </c>
      <c r="H254">
        <v>-0.8397</v>
      </c>
      <c r="I254">
        <v>0.4449</v>
      </c>
      <c r="J254">
        <v>30</v>
      </c>
      <c r="K254" t="s">
        <v>391</v>
      </c>
      <c r="L254" t="s">
        <v>337</v>
      </c>
      <c r="M254" t="s">
        <v>391</v>
      </c>
      <c r="N254" t="s">
        <v>391</v>
      </c>
    </row>
    <row r="255" spans="1:14" x14ac:dyDescent="0.25">
      <c r="A255" t="s">
        <v>366</v>
      </c>
      <c r="B255" t="s">
        <v>367</v>
      </c>
      <c r="C255">
        <v>8507.33</v>
      </c>
      <c r="D255" t="s">
        <v>418</v>
      </c>
      <c r="E255">
        <v>27.07</v>
      </c>
      <c r="F255">
        <v>162.1</v>
      </c>
      <c r="G255">
        <v>0.2736</v>
      </c>
      <c r="H255">
        <v>-0.8474</v>
      </c>
      <c r="I255">
        <v>0.455</v>
      </c>
      <c r="J255">
        <v>30</v>
      </c>
      <c r="K255" t="s">
        <v>391</v>
      </c>
      <c r="L255" t="s">
        <v>337</v>
      </c>
      <c r="M255" t="s">
        <v>391</v>
      </c>
      <c r="N255" t="s">
        <v>391</v>
      </c>
    </row>
    <row r="256" spans="1:14" x14ac:dyDescent="0.25">
      <c r="A256" t="s">
        <v>366</v>
      </c>
      <c r="B256" t="s">
        <v>367</v>
      </c>
      <c r="C256">
        <v>8507.5</v>
      </c>
      <c r="D256" t="s">
        <v>419</v>
      </c>
      <c r="E256">
        <v>27.63</v>
      </c>
      <c r="F256">
        <v>164.61</v>
      </c>
      <c r="G256">
        <v>0.2352</v>
      </c>
      <c r="H256">
        <v>-0.8541</v>
      </c>
      <c r="I256">
        <v>0.4638</v>
      </c>
      <c r="J256">
        <v>30</v>
      </c>
      <c r="K256" t="s">
        <v>391</v>
      </c>
      <c r="L256" t="s">
        <v>337</v>
      </c>
      <c r="M256" t="s">
        <v>391</v>
      </c>
      <c r="N256" t="s">
        <v>391</v>
      </c>
    </row>
    <row r="257" spans="1:14" x14ac:dyDescent="0.25">
      <c r="A257" t="s">
        <v>366</v>
      </c>
      <c r="B257" t="s">
        <v>367</v>
      </c>
      <c r="C257">
        <v>8507.67</v>
      </c>
      <c r="D257" t="s">
        <v>420</v>
      </c>
      <c r="E257">
        <v>28.12</v>
      </c>
      <c r="F257">
        <v>167.14</v>
      </c>
      <c r="G257">
        <v>0.1963</v>
      </c>
      <c r="H257">
        <v>-0.8599</v>
      </c>
      <c r="I257">
        <v>0.4713</v>
      </c>
      <c r="J257">
        <v>30</v>
      </c>
      <c r="K257" t="s">
        <v>391</v>
      </c>
      <c r="L257" t="s">
        <v>337</v>
      </c>
      <c r="M257" t="s">
        <v>391</v>
      </c>
      <c r="N257" t="s">
        <v>391</v>
      </c>
    </row>
    <row r="258" spans="1:14" x14ac:dyDescent="0.25">
      <c r="A258" t="s">
        <v>366</v>
      </c>
      <c r="B258" t="s">
        <v>367</v>
      </c>
      <c r="C258">
        <v>8507.83</v>
      </c>
      <c r="D258" t="s">
        <v>421</v>
      </c>
      <c r="E258">
        <v>28.52</v>
      </c>
      <c r="F258">
        <v>169.71</v>
      </c>
      <c r="G258">
        <v>0.157</v>
      </c>
      <c r="H258">
        <v>-0.8645</v>
      </c>
      <c r="I258">
        <v>0.4774</v>
      </c>
      <c r="J258">
        <v>30</v>
      </c>
      <c r="K258" t="s">
        <v>391</v>
      </c>
      <c r="L258" t="s">
        <v>337</v>
      </c>
      <c r="M258" t="s">
        <v>391</v>
      </c>
      <c r="N258" t="s">
        <v>391</v>
      </c>
    </row>
    <row r="259" spans="1:14" x14ac:dyDescent="0.25">
      <c r="A259" t="s">
        <v>366</v>
      </c>
      <c r="B259" t="s">
        <v>367</v>
      </c>
      <c r="C259">
        <v>8508</v>
      </c>
      <c r="D259" t="s">
        <v>422</v>
      </c>
      <c r="E259">
        <v>28.83</v>
      </c>
      <c r="F259">
        <v>172.3</v>
      </c>
      <c r="G259">
        <v>0.1174</v>
      </c>
      <c r="H259">
        <v>-0.8682</v>
      </c>
      <c r="I259">
        <v>0.4822</v>
      </c>
      <c r="J259">
        <v>30</v>
      </c>
      <c r="K259" t="s">
        <v>391</v>
      </c>
      <c r="L259" t="s">
        <v>337</v>
      </c>
      <c r="M259" t="s">
        <v>391</v>
      </c>
      <c r="N259" t="s">
        <v>391</v>
      </c>
    </row>
    <row r="260" spans="1:14" x14ac:dyDescent="0.25">
      <c r="A260" t="s">
        <v>366</v>
      </c>
      <c r="B260" t="s">
        <v>367</v>
      </c>
      <c r="C260">
        <v>8508.17</v>
      </c>
      <c r="D260" t="s">
        <v>423</v>
      </c>
      <c r="E260">
        <v>29.05</v>
      </c>
      <c r="F260">
        <v>174.91</v>
      </c>
      <c r="G260">
        <v>0.0776</v>
      </c>
      <c r="H260">
        <v>-0.8707</v>
      </c>
      <c r="I260">
        <v>0.4856</v>
      </c>
      <c r="J260">
        <v>30</v>
      </c>
      <c r="K260" t="s">
        <v>391</v>
      </c>
      <c r="L260" t="s">
        <v>337</v>
      </c>
      <c r="M260" t="s">
        <v>391</v>
      </c>
      <c r="N260" t="s">
        <v>391</v>
      </c>
    </row>
    <row r="261" spans="1:14" x14ac:dyDescent="0.25">
      <c r="A261" t="s">
        <v>366</v>
      </c>
      <c r="B261" t="s">
        <v>367</v>
      </c>
      <c r="C261">
        <v>8508.33</v>
      </c>
      <c r="D261" t="s">
        <v>424</v>
      </c>
      <c r="E261">
        <v>29.18</v>
      </c>
      <c r="F261">
        <v>177.53</v>
      </c>
      <c r="G261">
        <v>0.0377</v>
      </c>
      <c r="H261">
        <v>-0.8723</v>
      </c>
      <c r="I261">
        <v>0.4876</v>
      </c>
      <c r="J261">
        <v>30</v>
      </c>
      <c r="K261" t="s">
        <v>391</v>
      </c>
      <c r="L261" t="s">
        <v>337</v>
      </c>
      <c r="M261" t="s">
        <v>391</v>
      </c>
      <c r="N261" t="s">
        <v>391</v>
      </c>
    </row>
    <row r="262" spans="1:14" x14ac:dyDescent="0.25">
      <c r="A262" t="s">
        <v>366</v>
      </c>
      <c r="B262" t="s">
        <v>367</v>
      </c>
      <c r="C262">
        <v>8508.5</v>
      </c>
      <c r="D262" t="s">
        <v>425</v>
      </c>
      <c r="E262">
        <v>29.22</v>
      </c>
      <c r="F262">
        <v>180.15</v>
      </c>
      <c r="G262">
        <v>-0.0023</v>
      </c>
      <c r="H262">
        <v>-0.8727</v>
      </c>
      <c r="I262">
        <v>0.4882</v>
      </c>
      <c r="J262">
        <v>30</v>
      </c>
      <c r="K262" t="s">
        <v>391</v>
      </c>
      <c r="L262" t="s">
        <v>337</v>
      </c>
      <c r="M262" t="s">
        <v>391</v>
      </c>
      <c r="N262" t="s">
        <v>391</v>
      </c>
    </row>
    <row r="263" spans="1:14" x14ac:dyDescent="0.25">
      <c r="A263" t="s">
        <v>366</v>
      </c>
      <c r="B263" t="s">
        <v>367</v>
      </c>
      <c r="C263">
        <v>8508.67</v>
      </c>
      <c r="D263" t="s">
        <v>426</v>
      </c>
      <c r="E263">
        <v>29.17</v>
      </c>
      <c r="F263">
        <v>182.78</v>
      </c>
      <c r="G263">
        <v>-0.0423</v>
      </c>
      <c r="H263">
        <v>-0.8722</v>
      </c>
      <c r="I263">
        <v>0.4874</v>
      </c>
      <c r="J263">
        <v>30</v>
      </c>
      <c r="K263" t="s">
        <v>391</v>
      </c>
      <c r="L263" t="s">
        <v>337</v>
      </c>
      <c r="M263" t="s">
        <v>391</v>
      </c>
      <c r="N263" t="s">
        <v>391</v>
      </c>
    </row>
    <row r="264" spans="1:14" x14ac:dyDescent="0.25">
      <c r="A264" t="s">
        <v>366</v>
      </c>
      <c r="B264" t="s">
        <v>367</v>
      </c>
      <c r="C264">
        <v>8508.83</v>
      </c>
      <c r="D264" t="s">
        <v>427</v>
      </c>
      <c r="E264">
        <v>29.03</v>
      </c>
      <c r="F264">
        <v>185.4</v>
      </c>
      <c r="G264">
        <v>-0.0823</v>
      </c>
      <c r="H264">
        <v>-0.8705</v>
      </c>
      <c r="I264">
        <v>0.4852</v>
      </c>
      <c r="J264">
        <v>30</v>
      </c>
      <c r="K264" t="s">
        <v>391</v>
      </c>
      <c r="L264" t="s">
        <v>337</v>
      </c>
      <c r="M264" t="s">
        <v>391</v>
      </c>
      <c r="N264" t="s">
        <v>391</v>
      </c>
    </row>
    <row r="265" spans="1:14" x14ac:dyDescent="0.25">
      <c r="A265" t="s">
        <v>366</v>
      </c>
      <c r="B265" t="s">
        <v>367</v>
      </c>
      <c r="C265">
        <v>8509</v>
      </c>
      <c r="D265" t="s">
        <v>428</v>
      </c>
      <c r="E265">
        <v>28.8</v>
      </c>
      <c r="F265">
        <v>188.01</v>
      </c>
      <c r="G265">
        <v>-0.122</v>
      </c>
      <c r="H265">
        <v>-0.8678</v>
      </c>
      <c r="I265">
        <v>0.4817</v>
      </c>
      <c r="J265">
        <v>30</v>
      </c>
      <c r="K265" t="s">
        <v>391</v>
      </c>
      <c r="L265" t="s">
        <v>337</v>
      </c>
      <c r="M265" t="s">
        <v>391</v>
      </c>
      <c r="N265" t="s">
        <v>391</v>
      </c>
    </row>
    <row r="266" spans="1:14" x14ac:dyDescent="0.25">
      <c r="A266" t="s">
        <v>366</v>
      </c>
      <c r="B266" t="s">
        <v>367</v>
      </c>
      <c r="C266">
        <v>8509.17</v>
      </c>
      <c r="D266" t="s">
        <v>429</v>
      </c>
      <c r="E266">
        <v>28.48</v>
      </c>
      <c r="F266">
        <v>190.59</v>
      </c>
      <c r="G266">
        <v>-0.1616</v>
      </c>
      <c r="H266">
        <v>-0.864</v>
      </c>
      <c r="I266">
        <v>0.4768</v>
      </c>
      <c r="J266">
        <v>30</v>
      </c>
      <c r="K266" t="s">
        <v>391</v>
      </c>
      <c r="L266" t="s">
        <v>337</v>
      </c>
      <c r="M266" t="s">
        <v>391</v>
      </c>
      <c r="N266" t="s">
        <v>391</v>
      </c>
    </row>
    <row r="267" spans="1:14" x14ac:dyDescent="0.25">
      <c r="A267" t="s">
        <v>366</v>
      </c>
      <c r="B267" t="s">
        <v>367</v>
      </c>
      <c r="C267">
        <v>8509.33</v>
      </c>
      <c r="D267" t="s">
        <v>430</v>
      </c>
      <c r="E267">
        <v>28.07</v>
      </c>
      <c r="F267">
        <v>193.15</v>
      </c>
      <c r="G267">
        <v>-0.2008</v>
      </c>
      <c r="H267">
        <v>-0.8592</v>
      </c>
      <c r="I267">
        <v>0.4705</v>
      </c>
      <c r="J267">
        <v>30</v>
      </c>
      <c r="K267" t="s">
        <v>391</v>
      </c>
      <c r="L267" t="s">
        <v>337</v>
      </c>
      <c r="M267" t="s">
        <v>391</v>
      </c>
      <c r="N267" t="s">
        <v>391</v>
      </c>
    </row>
    <row r="268" spans="1:14" x14ac:dyDescent="0.25">
      <c r="A268" t="s">
        <v>366</v>
      </c>
      <c r="B268" t="s">
        <v>367</v>
      </c>
      <c r="C268">
        <v>8509.5</v>
      </c>
      <c r="D268" t="s">
        <v>431</v>
      </c>
      <c r="E268">
        <v>27.57</v>
      </c>
      <c r="F268">
        <v>195.69</v>
      </c>
      <c r="G268">
        <v>-0.2397</v>
      </c>
      <c r="H268">
        <v>-0.8534</v>
      </c>
      <c r="I268">
        <v>0.4629</v>
      </c>
      <c r="J268">
        <v>30</v>
      </c>
      <c r="K268" t="s">
        <v>391</v>
      </c>
      <c r="L268" t="s">
        <v>337</v>
      </c>
      <c r="M268" t="s">
        <v>391</v>
      </c>
      <c r="N268" t="s">
        <v>391</v>
      </c>
    </row>
    <row r="269" spans="1:14" x14ac:dyDescent="0.25">
      <c r="A269" t="s">
        <v>366</v>
      </c>
      <c r="B269" t="s">
        <v>367</v>
      </c>
      <c r="C269">
        <v>8509.67</v>
      </c>
      <c r="D269" t="s">
        <v>432</v>
      </c>
      <c r="E269">
        <v>26.99</v>
      </c>
      <c r="F269">
        <v>198.18</v>
      </c>
      <c r="G269">
        <v>-0.2781</v>
      </c>
      <c r="H269">
        <v>-0.8466</v>
      </c>
      <c r="I269">
        <v>0.4539</v>
      </c>
      <c r="J269">
        <v>30</v>
      </c>
      <c r="K269" t="s">
        <v>391</v>
      </c>
      <c r="L269" t="s">
        <v>337</v>
      </c>
      <c r="M269" t="s">
        <v>391</v>
      </c>
      <c r="N269" t="s">
        <v>391</v>
      </c>
    </row>
    <row r="270" spans="1:14" x14ac:dyDescent="0.25">
      <c r="A270" t="s">
        <v>366</v>
      </c>
      <c r="B270" t="s">
        <v>367</v>
      </c>
      <c r="C270">
        <v>8509.83</v>
      </c>
      <c r="D270" t="s">
        <v>433</v>
      </c>
      <c r="E270">
        <v>26.33</v>
      </c>
      <c r="F270">
        <v>200.64</v>
      </c>
      <c r="G270">
        <v>-0.3159</v>
      </c>
      <c r="H270">
        <v>-0.8387</v>
      </c>
      <c r="I270">
        <v>0.4436</v>
      </c>
      <c r="J270">
        <v>30</v>
      </c>
      <c r="K270" t="s">
        <v>391</v>
      </c>
      <c r="L270" t="s">
        <v>337</v>
      </c>
      <c r="M270" t="s">
        <v>391</v>
      </c>
      <c r="N270" t="s">
        <v>391</v>
      </c>
    </row>
    <row r="271" spans="1:14" x14ac:dyDescent="0.25">
      <c r="A271" t="s">
        <v>366</v>
      </c>
      <c r="B271" t="s">
        <v>367</v>
      </c>
      <c r="C271">
        <v>8510</v>
      </c>
      <c r="D271" t="s">
        <v>434</v>
      </c>
      <c r="E271">
        <v>25.59</v>
      </c>
      <c r="F271">
        <v>203.06</v>
      </c>
      <c r="G271">
        <v>-0.3532</v>
      </c>
      <c r="H271">
        <v>-0.8298</v>
      </c>
      <c r="I271">
        <v>0.432</v>
      </c>
      <c r="J271">
        <v>30</v>
      </c>
      <c r="K271" t="s">
        <v>391</v>
      </c>
      <c r="L271" t="s">
        <v>337</v>
      </c>
      <c r="M271" t="s">
        <v>391</v>
      </c>
      <c r="N271" t="s">
        <v>391</v>
      </c>
    </row>
    <row r="272" spans="1:14" x14ac:dyDescent="0.25">
      <c r="A272" t="s">
        <v>366</v>
      </c>
      <c r="B272" t="s">
        <v>367</v>
      </c>
      <c r="C272">
        <v>8510.17</v>
      </c>
      <c r="D272" t="s">
        <v>435</v>
      </c>
      <c r="E272">
        <v>24.78</v>
      </c>
      <c r="F272">
        <v>205.42</v>
      </c>
      <c r="G272">
        <v>-0.3898</v>
      </c>
      <c r="H272">
        <v>-0.82</v>
      </c>
      <c r="I272">
        <v>0.4191</v>
      </c>
      <c r="J272">
        <v>30</v>
      </c>
      <c r="K272" t="s">
        <v>391</v>
      </c>
      <c r="L272" t="s">
        <v>337</v>
      </c>
      <c r="M272" t="s">
        <v>391</v>
      </c>
      <c r="N272" t="s">
        <v>391</v>
      </c>
    </row>
    <row r="273" spans="1:14" x14ac:dyDescent="0.25">
      <c r="A273" t="s">
        <v>366</v>
      </c>
      <c r="B273" t="s">
        <v>367</v>
      </c>
      <c r="C273">
        <v>8510.33</v>
      </c>
      <c r="D273" t="s">
        <v>436</v>
      </c>
      <c r="E273">
        <v>23.89</v>
      </c>
      <c r="F273">
        <v>207.74</v>
      </c>
      <c r="G273">
        <v>-0.4256</v>
      </c>
      <c r="H273">
        <v>-0.8092</v>
      </c>
      <c r="I273">
        <v>0.405</v>
      </c>
      <c r="J273">
        <v>30</v>
      </c>
      <c r="K273" t="s">
        <v>391</v>
      </c>
      <c r="L273" t="s">
        <v>337</v>
      </c>
      <c r="M273" t="s">
        <v>391</v>
      </c>
      <c r="N273" t="s">
        <v>391</v>
      </c>
    </row>
    <row r="274" spans="1:14" x14ac:dyDescent="0.25">
      <c r="A274" t="s">
        <v>366</v>
      </c>
      <c r="B274" t="s">
        <v>367</v>
      </c>
      <c r="C274">
        <v>8510.5</v>
      </c>
      <c r="D274" t="s">
        <v>371</v>
      </c>
      <c r="E274">
        <v>22.93</v>
      </c>
      <c r="F274">
        <v>210.01</v>
      </c>
      <c r="G274">
        <v>-0.4607</v>
      </c>
      <c r="H274">
        <v>-0.7975</v>
      </c>
      <c r="I274">
        <v>0.3896</v>
      </c>
      <c r="J274">
        <v>30</v>
      </c>
      <c r="K274" t="s">
        <v>391</v>
      </c>
      <c r="L274" t="s">
        <v>391</v>
      </c>
      <c r="M274" t="s">
        <v>391</v>
      </c>
      <c r="N274" t="s">
        <v>391</v>
      </c>
    </row>
    <row r="275" spans="1:14" x14ac:dyDescent="0.25">
      <c r="A275" t="s">
        <v>366</v>
      </c>
      <c r="B275" t="s">
        <v>367</v>
      </c>
      <c r="C275">
        <v>8510.67</v>
      </c>
      <c r="D275" t="s">
        <v>437</v>
      </c>
      <c r="E275">
        <v>21.9</v>
      </c>
      <c r="F275">
        <v>212.23</v>
      </c>
      <c r="G275">
        <v>-0.4949</v>
      </c>
      <c r="H275">
        <v>-0.7848</v>
      </c>
      <c r="I275">
        <v>0.373</v>
      </c>
      <c r="J275">
        <v>30</v>
      </c>
      <c r="K275" t="s">
        <v>391</v>
      </c>
      <c r="L275" t="s">
        <v>391</v>
      </c>
      <c r="M275" t="s">
        <v>391</v>
      </c>
      <c r="N275" t="s">
        <v>391</v>
      </c>
    </row>
    <row r="276" spans="1:14" x14ac:dyDescent="0.25">
      <c r="A276" t="s">
        <v>366</v>
      </c>
      <c r="B276" t="s">
        <v>367</v>
      </c>
      <c r="C276">
        <v>8510.83</v>
      </c>
      <c r="D276" t="s">
        <v>438</v>
      </c>
      <c r="E276">
        <v>20.81</v>
      </c>
      <c r="F276">
        <v>214.4</v>
      </c>
      <c r="G276">
        <v>-0.5281</v>
      </c>
      <c r="H276">
        <v>-0.7713</v>
      </c>
      <c r="I276">
        <v>0.3553</v>
      </c>
      <c r="J276">
        <v>30</v>
      </c>
      <c r="K276" t="s">
        <v>391</v>
      </c>
      <c r="L276" t="s">
        <v>391</v>
      </c>
      <c r="M276" t="s">
        <v>391</v>
      </c>
      <c r="N276" t="s">
        <v>391</v>
      </c>
    </row>
    <row r="277" spans="1:14" x14ac:dyDescent="0.25">
      <c r="A277" t="s">
        <v>366</v>
      </c>
      <c r="B277" t="s">
        <v>367</v>
      </c>
      <c r="C277">
        <v>8511</v>
      </c>
      <c r="D277" t="s">
        <v>439</v>
      </c>
      <c r="E277">
        <v>19.66</v>
      </c>
      <c r="F277">
        <v>216.51</v>
      </c>
      <c r="G277">
        <v>-0.5603</v>
      </c>
      <c r="H277">
        <v>-0.7569</v>
      </c>
      <c r="I277">
        <v>0.3364</v>
      </c>
      <c r="J277">
        <v>30</v>
      </c>
      <c r="K277" t="s">
        <v>391</v>
      </c>
      <c r="L277" t="s">
        <v>391</v>
      </c>
      <c r="M277" t="s">
        <v>391</v>
      </c>
      <c r="N277" t="s">
        <v>391</v>
      </c>
    </row>
    <row r="278" spans="1:14" x14ac:dyDescent="0.25">
      <c r="A278" t="s">
        <v>366</v>
      </c>
      <c r="B278" t="s">
        <v>367</v>
      </c>
      <c r="C278">
        <v>8511.17</v>
      </c>
      <c r="D278" t="s">
        <v>440</v>
      </c>
      <c r="E278">
        <v>18.45</v>
      </c>
      <c r="F278">
        <v>218.57</v>
      </c>
      <c r="G278">
        <v>-0.5915</v>
      </c>
      <c r="H278">
        <v>-0.7417</v>
      </c>
      <c r="I278">
        <v>0.3164</v>
      </c>
      <c r="J278">
        <v>30</v>
      </c>
      <c r="K278" t="s">
        <v>391</v>
      </c>
      <c r="L278" t="s">
        <v>391</v>
      </c>
      <c r="M278" t="s">
        <v>391</v>
      </c>
      <c r="N278" t="s">
        <v>391</v>
      </c>
    </row>
    <row r="279" spans="1:14" x14ac:dyDescent="0.25">
      <c r="A279" t="s">
        <v>366</v>
      </c>
      <c r="B279" t="s">
        <v>367</v>
      </c>
      <c r="C279">
        <v>8511.33</v>
      </c>
      <c r="D279" t="s">
        <v>441</v>
      </c>
      <c r="E279">
        <v>17.18</v>
      </c>
      <c r="F279">
        <v>220.58</v>
      </c>
      <c r="G279">
        <v>-0.6215</v>
      </c>
      <c r="H279">
        <v>-0.7256</v>
      </c>
      <c r="I279">
        <v>0.2954</v>
      </c>
      <c r="J279">
        <v>30</v>
      </c>
      <c r="K279" t="s">
        <v>391</v>
      </c>
      <c r="L279" t="s">
        <v>391</v>
      </c>
      <c r="M279" t="s">
        <v>391</v>
      </c>
      <c r="N279" t="s">
        <v>391</v>
      </c>
    </row>
    <row r="280" spans="1:14" x14ac:dyDescent="0.25">
      <c r="A280" t="s">
        <v>366</v>
      </c>
      <c r="B280" t="s">
        <v>367</v>
      </c>
      <c r="C280">
        <v>8511.5</v>
      </c>
      <c r="D280" t="s">
        <v>442</v>
      </c>
      <c r="E280">
        <v>15.86</v>
      </c>
      <c r="F280">
        <v>222.54</v>
      </c>
      <c r="G280">
        <v>-0.6503</v>
      </c>
      <c r="H280">
        <v>-0.7088</v>
      </c>
      <c r="I280">
        <v>0.2734</v>
      </c>
      <c r="J280">
        <v>30</v>
      </c>
      <c r="K280" t="s">
        <v>391</v>
      </c>
      <c r="L280" t="s">
        <v>391</v>
      </c>
      <c r="M280" t="s">
        <v>391</v>
      </c>
      <c r="N280" t="s">
        <v>391</v>
      </c>
    </row>
    <row r="281" spans="1:14" x14ac:dyDescent="0.25">
      <c r="A281" t="s">
        <v>366</v>
      </c>
      <c r="B281" t="s">
        <v>367</v>
      </c>
      <c r="C281">
        <v>8511.67</v>
      </c>
      <c r="D281" t="s">
        <v>443</v>
      </c>
      <c r="E281">
        <v>14.5</v>
      </c>
      <c r="F281">
        <v>224.45</v>
      </c>
      <c r="G281">
        <v>-0.6779</v>
      </c>
      <c r="H281">
        <v>-0.6912</v>
      </c>
      <c r="I281">
        <v>0.2503</v>
      </c>
      <c r="J281">
        <v>30</v>
      </c>
      <c r="K281" t="s">
        <v>391</v>
      </c>
      <c r="L281" t="s">
        <v>391</v>
      </c>
      <c r="M281" t="s">
        <v>391</v>
      </c>
      <c r="N281" t="s">
        <v>391</v>
      </c>
    </row>
    <row r="282" spans="1:14" x14ac:dyDescent="0.25">
      <c r="A282" t="s">
        <v>366</v>
      </c>
      <c r="B282" t="s">
        <v>367</v>
      </c>
      <c r="C282">
        <v>8511.83</v>
      </c>
      <c r="D282" t="s">
        <v>444</v>
      </c>
      <c r="E282">
        <v>13.08</v>
      </c>
      <c r="F282">
        <v>226.3</v>
      </c>
      <c r="G282">
        <v>-0.7043</v>
      </c>
      <c r="H282">
        <v>-0.6729</v>
      </c>
      <c r="I282">
        <v>0.2264</v>
      </c>
      <c r="J282">
        <v>30</v>
      </c>
      <c r="K282" t="s">
        <v>391</v>
      </c>
      <c r="L282" t="s">
        <v>391</v>
      </c>
      <c r="M282" t="s">
        <v>391</v>
      </c>
      <c r="N282" t="s">
        <v>391</v>
      </c>
    </row>
    <row r="283" spans="1:14" x14ac:dyDescent="0.25">
      <c r="A283" t="s">
        <v>366</v>
      </c>
      <c r="B283" t="s">
        <v>367</v>
      </c>
      <c r="C283">
        <v>8512</v>
      </c>
      <c r="D283" t="s">
        <v>445</v>
      </c>
      <c r="E283">
        <v>11.63</v>
      </c>
      <c r="F283">
        <v>228.12</v>
      </c>
      <c r="G283">
        <v>-0.7292</v>
      </c>
      <c r="H283">
        <v>-0.6539</v>
      </c>
      <c r="I283">
        <v>0.2015</v>
      </c>
      <c r="J283">
        <v>30</v>
      </c>
      <c r="K283" t="s">
        <v>391</v>
      </c>
      <c r="L283" t="s">
        <v>391</v>
      </c>
      <c r="M283" t="s">
        <v>391</v>
      </c>
      <c r="N283" t="s">
        <v>391</v>
      </c>
    </row>
    <row r="284" spans="1:14" x14ac:dyDescent="0.25">
      <c r="A284" t="s">
        <v>366</v>
      </c>
      <c r="B284" t="s">
        <v>367</v>
      </c>
      <c r="C284">
        <v>8512.17</v>
      </c>
      <c r="D284" t="s">
        <v>446</v>
      </c>
      <c r="E284">
        <v>10.13</v>
      </c>
      <c r="F284">
        <v>229.88</v>
      </c>
      <c r="G284">
        <v>-0.7528</v>
      </c>
      <c r="H284">
        <v>-0.6343</v>
      </c>
      <c r="I284">
        <v>0.1758</v>
      </c>
      <c r="J284">
        <v>30</v>
      </c>
      <c r="K284" t="s">
        <v>391</v>
      </c>
      <c r="L284" t="s">
        <v>391</v>
      </c>
      <c r="M284" t="s">
        <v>391</v>
      </c>
      <c r="N284" t="s">
        <v>391</v>
      </c>
    </row>
    <row r="285" spans="1:14" x14ac:dyDescent="0.25">
      <c r="A285" t="s">
        <v>366</v>
      </c>
      <c r="B285" t="s">
        <v>367</v>
      </c>
      <c r="C285">
        <v>8512.33</v>
      </c>
      <c r="D285" t="s">
        <v>447</v>
      </c>
      <c r="E285">
        <v>8.59</v>
      </c>
      <c r="F285">
        <v>231.61</v>
      </c>
      <c r="G285">
        <v>-0.775</v>
      </c>
      <c r="H285">
        <v>-0.6141</v>
      </c>
      <c r="I285">
        <v>0.1493</v>
      </c>
      <c r="J285">
        <v>30</v>
      </c>
      <c r="K285" t="s">
        <v>391</v>
      </c>
      <c r="L285" t="s">
        <v>391</v>
      </c>
      <c r="M285" t="s">
        <v>391</v>
      </c>
      <c r="N285" t="s">
        <v>391</v>
      </c>
    </row>
    <row r="286" spans="1:14" x14ac:dyDescent="0.25">
      <c r="A286" t="s">
        <v>366</v>
      </c>
      <c r="B286" t="s">
        <v>367</v>
      </c>
      <c r="C286">
        <v>8512.5</v>
      </c>
      <c r="D286" t="s">
        <v>448</v>
      </c>
      <c r="E286">
        <v>7.01</v>
      </c>
      <c r="F286">
        <v>233.29</v>
      </c>
      <c r="G286">
        <v>-0.7957</v>
      </c>
      <c r="H286">
        <v>-0.5933</v>
      </c>
      <c r="I286">
        <v>0.1221</v>
      </c>
      <c r="J286">
        <v>30</v>
      </c>
      <c r="K286" t="s">
        <v>391</v>
      </c>
      <c r="L286" t="s">
        <v>391</v>
      </c>
      <c r="M286" t="s">
        <v>391</v>
      </c>
      <c r="N286" t="s">
        <v>391</v>
      </c>
    </row>
    <row r="287" spans="1:14" x14ac:dyDescent="0.25">
      <c r="A287" t="s">
        <v>366</v>
      </c>
      <c r="B287" t="s">
        <v>367</v>
      </c>
      <c r="C287">
        <v>8512.67</v>
      </c>
      <c r="D287" t="s">
        <v>449</v>
      </c>
      <c r="E287">
        <v>5.4</v>
      </c>
      <c r="F287">
        <v>234.93</v>
      </c>
      <c r="G287">
        <v>-0.8148</v>
      </c>
      <c r="H287">
        <v>-0.572</v>
      </c>
      <c r="I287">
        <v>0.0942</v>
      </c>
      <c r="J287">
        <v>30</v>
      </c>
      <c r="K287" t="s">
        <v>391</v>
      </c>
      <c r="L287" t="s">
        <v>391</v>
      </c>
      <c r="M287" t="s">
        <v>391</v>
      </c>
      <c r="N287" t="s">
        <v>391</v>
      </c>
    </row>
    <row r="288" spans="1:14" x14ac:dyDescent="0.25">
      <c r="A288" t="s">
        <v>366</v>
      </c>
      <c r="B288" t="s">
        <v>367</v>
      </c>
      <c r="C288">
        <v>8512.83</v>
      </c>
      <c r="D288" t="s">
        <v>450</v>
      </c>
      <c r="E288">
        <v>3.76</v>
      </c>
      <c r="F288">
        <v>236.54</v>
      </c>
      <c r="G288">
        <v>-0.8325</v>
      </c>
      <c r="H288">
        <v>-0.5502</v>
      </c>
      <c r="I288">
        <v>0.0656</v>
      </c>
      <c r="J288">
        <v>30</v>
      </c>
      <c r="K288" t="s">
        <v>391</v>
      </c>
      <c r="L288" t="s">
        <v>391</v>
      </c>
      <c r="M288" t="s">
        <v>391</v>
      </c>
      <c r="N288" t="s">
        <v>391</v>
      </c>
    </row>
    <row r="289" spans="1:14" x14ac:dyDescent="0.25">
      <c r="A289" t="s">
        <v>366</v>
      </c>
      <c r="B289" t="s">
        <v>367</v>
      </c>
      <c r="C289">
        <v>8513</v>
      </c>
      <c r="D289" t="s">
        <v>451</v>
      </c>
      <c r="E289">
        <v>2.09</v>
      </c>
      <c r="F289">
        <v>238.11</v>
      </c>
      <c r="G289">
        <v>-0.8485</v>
      </c>
      <c r="H289">
        <v>-0.5279</v>
      </c>
      <c r="I289">
        <v>0.0365</v>
      </c>
      <c r="J289">
        <v>30</v>
      </c>
      <c r="K289" t="s">
        <v>391</v>
      </c>
      <c r="L289" t="s">
        <v>391</v>
      </c>
      <c r="M289" t="s">
        <v>391</v>
      </c>
      <c r="N289" t="s">
        <v>391</v>
      </c>
    </row>
    <row r="290" spans="1:14" x14ac:dyDescent="0.25">
      <c r="A290" t="s">
        <v>366</v>
      </c>
      <c r="B290" t="s">
        <v>367</v>
      </c>
      <c r="C290">
        <v>8513.17</v>
      </c>
      <c r="D290" t="s">
        <v>452</v>
      </c>
      <c r="E290">
        <v>0.39</v>
      </c>
      <c r="F290">
        <v>239.65</v>
      </c>
      <c r="G290">
        <v>-0.8629</v>
      </c>
      <c r="H290">
        <v>-0.5053</v>
      </c>
      <c r="I290">
        <v>0.0068</v>
      </c>
      <c r="J290">
        <v>30</v>
      </c>
      <c r="K290" t="s">
        <v>391</v>
      </c>
      <c r="L290" t="s">
        <v>391</v>
      </c>
      <c r="M290" t="s">
        <v>391</v>
      </c>
      <c r="N290" t="s">
        <v>391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6" customWidth="1"/>
    <col min="2" max="2" width="50" customWidth="1"/>
    <col min="3" max="5" width="18" customWidth="1"/>
  </cols>
  <sheetData>
    <row r="1" ht="36" customHeight="1" spans="1:1" s="16" customFormat="1" x14ac:dyDescent="0.25">
      <c r="A1" s="17" t="s">
        <v>475</v>
      </c>
    </row>
    <row r="2" ht="36" customHeight="1" spans="1:5" x14ac:dyDescent="0.25">
      <c r="A2" s="11" t="s">
        <v>476</v>
      </c>
      <c r="B2" s="11"/>
      <c r="C2" s="11"/>
      <c r="D2" s="11"/>
      <c r="E2" s="11"/>
    </row>
    <row r="3" ht="19.5" customHeight="1" spans="1:5" x14ac:dyDescent="0.25">
      <c r="A3" s="9" t="s">
        <v>196</v>
      </c>
      <c r="B3" s="9" t="s">
        <v>477</v>
      </c>
      <c r="C3" s="9" t="s">
        <v>478</v>
      </c>
      <c r="D3" s="9" t="s">
        <v>479</v>
      </c>
      <c r="E3" s="9" t="s">
        <v>480</v>
      </c>
    </row>
    <row r="4" ht="19.5" customHeight="1" spans="1:5" x14ac:dyDescent="0.25">
      <c r="A4" s="11" t="s">
        <v>481</v>
      </c>
      <c r="B4" s="11" t="s">
        <v>482</v>
      </c>
      <c r="C4" s="19">
        <f>'1_입력값'!$D$11*'2_단가조사'!$F$17*'1_입력값'!$D$31</f>
      </c>
      <c r="D4" s="19">
        <f>'1_입력값'!$D$8*'2_단가조사'!$F$2*'1_입력값'!$D$31</f>
      </c>
      <c r="E4" s="19">
        <f>'1_입력값'!$D$9*'2_단가조사'!$F$2*'1_입력값'!$D$31</f>
      </c>
    </row>
    <row r="5" ht="36" customHeight="1" spans="1:5" x14ac:dyDescent="0.25">
      <c r="A5" s="11" t="s">
        <v>483</v>
      </c>
      <c r="B5" s="11" t="s">
        <v>484</v>
      </c>
      <c r="C5" s="19">
        <f>0</f>
      </c>
      <c r="D5" s="19">
        <f>'1_입력값'!$D$8*'2_단가조사'!$F$3*'1_입력값'!$D$31</f>
      </c>
      <c r="E5" s="19">
        <f>'1_입력값'!$D$9*'2_단가조사'!$F$3*'1_입력값'!$D$31</f>
      </c>
    </row>
    <row r="6" ht="19.5" customHeight="1" spans="1:5" x14ac:dyDescent="0.25">
      <c r="A6" s="11" t="s">
        <v>485</v>
      </c>
      <c r="B6" s="11" t="s">
        <v>486</v>
      </c>
      <c r="C6" s="19">
        <f>('1_입력값'!$D$45*'2_단가조사'!$F$4+'2_단가조사'!$F$5)*'1_입력값'!$D$31</f>
      </c>
      <c r="D6" s="19">
        <f>0</f>
      </c>
      <c r="E6" s="19">
        <f>('1_입력값'!$D$10*'2_단가조사'!$F$4+'2_단가조사'!$F$5)*'1_입력값'!$D$31</f>
      </c>
    </row>
    <row r="7" ht="19.5" customHeight="1" spans="1:5" x14ac:dyDescent="0.25">
      <c r="A7" s="11" t="s">
        <v>487</v>
      </c>
      <c r="B7" s="11" t="s">
        <v>488</v>
      </c>
      <c r="C7" s="19">
        <f>'2_단가조사'!$F$19*'1_입력값'!$D$31</f>
      </c>
      <c r="D7" s="19">
        <f>0</f>
      </c>
      <c r="E7" s="19">
        <f>'2_단가조사'!$F$19*'1_입력값'!$D$31</f>
      </c>
    </row>
    <row r="8" ht="36" customHeight="1" spans="1:5" x14ac:dyDescent="0.25">
      <c r="A8" s="11" t="s">
        <v>489</v>
      </c>
      <c r="B8" s="11" t="s">
        <v>490</v>
      </c>
      <c r="C8" s="19">
        <f>0</f>
      </c>
      <c r="D8" s="19">
        <f>'1_입력값'!$D$48*'1_입력값'!$D$6*'2_단가조사'!$F$21*'1_입력값'!$D$31</f>
      </c>
      <c r="E8" s="19">
        <f>'1_입력값'!$D$47*'1_입력값'!$D$6*'2_단가조사'!$F$21*'1_입력값'!$D$31</f>
      </c>
    </row>
    <row r="9" ht="19.5" customHeight="1" spans="1:5" x14ac:dyDescent="0.25">
      <c r="A9" s="11" t="s">
        <v>491</v>
      </c>
      <c r="B9" s="11" t="s">
        <v>492</v>
      </c>
      <c r="C9" s="19">
        <f>'1_입력값'!$D$11*'2_단가조사'!$F$18*'1_입력값'!$D$31</f>
      </c>
      <c r="D9" s="19">
        <f>'1_입력값'!$D$8*'2_단가조사'!$F$6*'1_입력값'!$D$31</f>
      </c>
      <c r="E9" s="19">
        <f>'1_입력값'!$D$9*'2_단가조사'!$F$6*'1_입력값'!$D$31</f>
      </c>
    </row>
    <row r="10" ht="36" customHeight="1" spans="1:5" x14ac:dyDescent="0.25">
      <c r="A10" s="11" t="s">
        <v>493</v>
      </c>
      <c r="B10" s="11" t="s">
        <v>494</v>
      </c>
      <c r="C10" s="19">
        <f>'1_입력값'!$D$46*'2_단가조사'!$F$8*'1_입력값'!$D$31</f>
      </c>
      <c r="D10" s="19">
        <f>'1_입력값'!$D$12*('2_단가조사'!$F$7+'2_단가조사'!$F$8)*'1_입력값'!$D$31</f>
      </c>
      <c r="E10" s="19">
        <f>'1_입력값'!$D$12*('2_단가조사'!$F$7+'2_단가조사'!$F$8)*'1_입력값'!$D$31</f>
      </c>
    </row>
    <row r="11" ht="19.5" customHeight="1" spans="1:5" s="1" customFormat="1" x14ac:dyDescent="0.25">
      <c r="A11" s="3" t="s">
        <v>495</v>
      </c>
      <c r="B11" s="3" t="s">
        <v>496</v>
      </c>
      <c r="C11" s="20">
        <f>SUM(C4:C10)</f>
      </c>
      <c r="D11" s="20">
        <f>SUM(D4:D10)</f>
      </c>
      <c r="E11" s="20">
        <f>SUM(E4:E10)</f>
      </c>
    </row>
    <row r="12" ht="19.5" customHeight="1" spans="1:5" x14ac:dyDescent="0.25">
      <c r="A12" s="11" t="s">
        <v>226</v>
      </c>
      <c r="B12" s="11" t="s">
        <v>497</v>
      </c>
      <c r="C12" s="19">
        <f>C11*'1_입력값'!$D$13/100</f>
      </c>
      <c r="D12" s="19">
        <f>D11*'1_입력값'!$D$13/100</f>
      </c>
      <c r="E12" s="19">
        <f>E11*'1_입력값'!$D$13/100</f>
      </c>
    </row>
    <row r="13" ht="19.5" customHeight="1" spans="1:5" x14ac:dyDescent="0.25">
      <c r="A13" s="11" t="s">
        <v>228</v>
      </c>
      <c r="B13" s="11" t="s">
        <v>497</v>
      </c>
      <c r="C13" s="19">
        <f>C11*'1_입력값'!$D$14/100</f>
      </c>
      <c r="D13" s="19">
        <f>D11*'1_입력값'!$D$14/100</f>
      </c>
      <c r="E13" s="19">
        <f>E11*'1_입력값'!$D$14/100</f>
      </c>
    </row>
    <row r="14" ht="19.5" customHeight="1" spans="1:5" x14ac:dyDescent="0.25">
      <c r="A14" s="21" t="s">
        <v>498</v>
      </c>
      <c r="B14" s="21" t="s">
        <v>499</v>
      </c>
      <c r="C14" s="22">
        <f>C11+C12+C13</f>
      </c>
      <c r="D14" s="22">
        <f>D11+D12+D13</f>
      </c>
      <c r="E14" s="22">
        <f>E11+E12+E13</f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30" customWidth="1"/>
    <col min="2" max="2" width="40" customWidth="1"/>
    <col min="3" max="6" width="16" customWidth="1"/>
  </cols>
  <sheetData>
    <row r="1" ht="19.5" customHeight="1" spans="1:6" s="16" customFormat="1" x14ac:dyDescent="0.25">
      <c r="A1" s="17" t="s">
        <v>500</v>
      </c>
      <c r="B1" s="17"/>
      <c r="C1" s="17"/>
      <c r="D1" s="17"/>
      <c r="E1" s="17"/>
      <c r="F1" s="17"/>
    </row>
    <row r="2" ht="36" customHeight="1" spans="1:6" x14ac:dyDescent="0.25">
      <c r="A2" s="11" t="s">
        <v>501</v>
      </c>
      <c r="B2" s="11"/>
      <c r="C2" s="11"/>
      <c r="D2" s="11"/>
      <c r="E2" s="11"/>
      <c r="F2" s="11"/>
    </row>
    <row r="3" ht="36" customHeight="1" spans="1:6" x14ac:dyDescent="0.25">
      <c r="A3" s="9" t="s">
        <v>196</v>
      </c>
      <c r="B3" s="9" t="s">
        <v>477</v>
      </c>
      <c r="C3" s="9" t="s">
        <v>274</v>
      </c>
      <c r="D3" s="9" t="s">
        <v>478</v>
      </c>
      <c r="E3" s="9" t="s">
        <v>479</v>
      </c>
      <c r="F3" s="9" t="s">
        <v>480</v>
      </c>
    </row>
    <row r="4" ht="19.5" customHeight="1" spans="1:6" x14ac:dyDescent="0.25">
      <c r="A4" s="11" t="s">
        <v>502</v>
      </c>
      <c r="B4" s="11" t="s">
        <v>503</v>
      </c>
      <c r="C4" s="23">
        <f>IF('1_입력값'!$D$44=1,'3_차폐·냉방환산'!C7,1)</f>
      </c>
      <c r="D4" s="23">
        <f>IF('1_입력값'!$D$44=1,'3_차폐·냉방환산'!C8,1)</f>
      </c>
      <c r="E4" s="23">
        <f>IF('1_입력값'!$D$44=1,'3_차폐·냉방환산'!C9,1)</f>
      </c>
      <c r="F4" s="23">
        <f>IF('1_입력값'!$D$44=1,'3_차폐·냉방환산'!C10,1)</f>
      </c>
    </row>
    <row r="5" ht="19.5" customHeight="1" spans="1:6" x14ac:dyDescent="0.25">
      <c r="A5" s="11" t="s">
        <v>504</v>
      </c>
      <c r="B5" s="11" t="s">
        <v>34</v>
      </c>
      <c r="C5" s="19">
        <f>'1_입력값'!$D$36</f>
      </c>
      <c r="D5" s="19">
        <f>'1_입력값'!$D$37</f>
      </c>
      <c r="E5" s="19">
        <f>'1_입력값'!$D$38</f>
      </c>
      <c r="F5" s="19">
        <f>'1_입력값'!$D$39</f>
      </c>
    </row>
    <row r="6" ht="19.5" customHeight="1" spans="1:6" x14ac:dyDescent="0.25">
      <c r="A6" s="11" t="s">
        <v>505</v>
      </c>
      <c r="B6" s="11" t="s">
        <v>506</v>
      </c>
      <c r="C6" s="19">
        <f>C5*'1_입력값'!$D$6*'1_입력값'!$D$21*C4</f>
      </c>
      <c r="D6" s="19">
        <f>D5*'1_입력값'!$D$6*'1_입력값'!$D$21*D4</f>
      </c>
      <c r="E6" s="19">
        <f>E5*'1_입력값'!$D$6*'1_입력값'!$D$21*E4</f>
      </c>
      <c r="F6" s="19">
        <f>F5*'1_입력값'!$D$6*'1_입력값'!$D$21*F4</f>
      </c>
    </row>
    <row r="7" ht="19.5" customHeight="1" spans="1:6" x14ac:dyDescent="0.25">
      <c r="A7" s="11" t="s">
        <v>507</v>
      </c>
      <c r="B7" s="11" t="s">
        <v>508</v>
      </c>
      <c r="C7" s="19">
        <f>C6/'1_입력값'!$D$20</f>
      </c>
      <c r="D7" s="19">
        <f>D6/'1_입력값'!$D$20</f>
      </c>
      <c r="E7" s="19">
        <f>E6/'1_입력값'!$D$20</f>
      </c>
      <c r="F7" s="19">
        <f>F6/'1_입력값'!$D$20</f>
      </c>
    </row>
    <row r="8" ht="19.5" customHeight="1" spans="1:6" x14ac:dyDescent="0.25">
      <c r="A8" s="11" t="s">
        <v>509</v>
      </c>
      <c r="B8" s="11" t="s">
        <v>510</v>
      </c>
      <c r="C8" s="19">
        <f>C7*'1_입력값'!$D$15*'1_입력값'!$D$32</f>
      </c>
      <c r="D8" s="19">
        <f>D7*'1_입력값'!$D$15*'1_입력값'!$D$32</f>
      </c>
      <c r="E8" s="19">
        <f>E7*'1_입력값'!$D$15*'1_입력값'!$D$32</f>
      </c>
      <c r="F8" s="19">
        <f>F7*'1_입력값'!$D$15*'1_입력값'!$D$32</f>
      </c>
    </row>
    <row r="9" ht="19.5" customHeight="1" spans="1:6" x14ac:dyDescent="0.25">
      <c r="A9" s="11" t="s">
        <v>511</v>
      </c>
      <c r="B9" s="11" t="s">
        <v>56</v>
      </c>
      <c r="C9" s="19">
        <f>'1_입력값'!$D$40</f>
      </c>
      <c r="D9" s="19">
        <f>'1_입력값'!$D$41</f>
      </c>
      <c r="E9" s="19">
        <f>'1_입력값'!$D$42</f>
      </c>
      <c r="F9" s="19">
        <f>'1_입력값'!$D$43</f>
      </c>
    </row>
    <row r="10" ht="19.5" customHeight="1" spans="1:6" x14ac:dyDescent="0.25">
      <c r="A10" s="11" t="s">
        <v>512</v>
      </c>
      <c r="B10" s="11" t="s">
        <v>513</v>
      </c>
      <c r="C10" s="19">
        <f>C9*'1_입력값'!$D$15*'1_입력값'!$D$32</f>
      </c>
      <c r="D10" s="19">
        <f>D9*'1_입력값'!$D$15*'1_입력값'!$D$32</f>
      </c>
      <c r="E10" s="19">
        <f>E9*'1_입력값'!$D$15*'1_입력값'!$D$32</f>
      </c>
      <c r="F10" s="19">
        <f>F9*'1_입력값'!$D$15*'1_입력값'!$D$32</f>
      </c>
    </row>
    <row r="11" ht="19.5" customHeight="1" spans="1:6" s="1" customFormat="1" x14ac:dyDescent="0.25">
      <c r="A11" s="3" t="s">
        <v>514</v>
      </c>
      <c r="B11" s="3" t="s">
        <v>515</v>
      </c>
      <c r="C11" s="20">
        <f>C8+C10+'13_탄소·계절효과'!B25*1000*'1_입력값'!$D$15*'1_입력값'!$D$32</f>
      </c>
      <c r="D11" s="20">
        <f>D8+D10+'13_탄소·계절효과'!C25*1000*'1_입력값'!$D$15*'1_입력값'!$D$32</f>
      </c>
      <c r="E11" s="20">
        <f>E8+E10+'13_탄소·계절효과'!D25*1000*'1_입력값'!$D$15*'1_입력값'!$D$32</f>
      </c>
      <c r="F11" s="20">
        <f>F8+F10+'13_탄소·계절효과'!E25*1000*'1_입력값'!$D$15*'1_입력값'!$D$32</f>
      </c>
    </row>
    <row r="12" ht="36" customHeight="1" spans="1:6" x14ac:dyDescent="0.25">
      <c r="A12" s="11" t="s">
        <v>516</v>
      </c>
      <c r="B12" s="11" t="s">
        <v>517</v>
      </c>
      <c r="C12" s="19">
        <f>$C$11-C11</f>
      </c>
      <c r="D12" s="19">
        <f>$C$11-D11</f>
      </c>
      <c r="E12" s="19">
        <f>$C$11-E11</f>
      </c>
      <c r="F12" s="19">
        <f>$C$11-F11</f>
      </c>
    </row>
    <row r="13" ht="36" customHeight="1" spans="1:6" x14ac:dyDescent="0.25">
      <c r="A13" s="11" t="s">
        <v>518</v>
      </c>
      <c r="B13" s="11" t="s">
        <v>519</v>
      </c>
      <c r="C13" s="19">
        <v>0</v>
      </c>
      <c r="D13" s="19">
        <f>('7_공사비'!C4+'7_공사비'!C5+'7_공사비'!C6+'7_공사비'!C9)*'1_입력값'!$D$34/100*'1_입력값'!$D$33+'7_공사비'!C8*'1_입력값'!$D$64/100*'1_입력값'!$D$33+INT(('1_입력값'!$D$17-1)/'1_입력값'!$D$35)*'1_입력값'!$D$45*'2_단가조사'!$F$4*'1_입력값'!$D$31/'1_입력값'!$D$17+'2_단가조사'!$F$20*'1_입력값'!$D$33</f>
      </c>
      <c r="E13" s="19">
        <f>('7_공사비'!D4+'7_공사비'!D5+'7_공사비'!D6+'7_공사비'!D9)*'1_입력값'!$D$18/100*'1_입력값'!$D$33+'7_공사비'!D8*'1_입력값'!$D$64/100*'1_입력값'!$D$33</f>
      </c>
      <c r="F13" s="19">
        <f>('7_공사비'!E4+'7_공사비'!E5+'7_공사비'!E6+'7_공사비'!E9)*'1_입력값'!$D$34/100*'1_입력값'!$D$33+'7_공사비'!E8*'1_입력값'!$D$64/100*'1_입력값'!$D$33+INT(('1_입력값'!$D$17-1)/IF('1_입력값'!$D$47=1,'1_입력값'!$D$35,'1_입력값'!$D$63))*'1_입력값'!$D$10*'2_단가조사'!$F$4*'1_입력값'!$D$31/'1_입력값'!$D$17+'2_단가조사'!$F$20*'1_입력값'!$D$33</f>
      </c>
    </row>
    <row r="14" ht="19.5" customHeight="1" spans="1:6" x14ac:dyDescent="0.25">
      <c r="A14" s="21" t="s">
        <v>520</v>
      </c>
      <c r="B14" s="21" t="s">
        <v>521</v>
      </c>
      <c r="C14" s="22">
        <f>C12-C13</f>
      </c>
      <c r="D14" s="22">
        <f>D12-D13</f>
      </c>
      <c r="E14" s="22">
        <f>E12-E13</f>
      </c>
      <c r="F14" s="22">
        <f>F12-F13</f>
      </c>
    </row>
    <row r="15" ht="36" customHeight="1" spans="1:6" x14ac:dyDescent="0.25">
      <c r="A15" s="11" t="s">
        <v>522</v>
      </c>
      <c r="B15" s="11" t="s">
        <v>523</v>
      </c>
      <c r="C15" s="11" t="s">
        <v>100</v>
      </c>
      <c r="D15" s="11" t="s">
        <v>100</v>
      </c>
      <c r="E15" s="11" t="s">
        <v>100</v>
      </c>
      <c r="F15" s="11" t="s">
        <v>100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2" width="44" customWidth="1"/>
    <col min="3" max="5" width="18" customWidth="1"/>
  </cols>
  <sheetData>
    <row r="1" ht="36" customHeight="1" spans="1:1" s="16" customFormat="1" x14ac:dyDescent="0.25">
      <c r="A1" s="17" t="s">
        <v>524</v>
      </c>
    </row>
    <row r="2" ht="36" customHeight="1" spans="1:5" x14ac:dyDescent="0.25">
      <c r="A2" s="11" t="s">
        <v>525</v>
      </c>
      <c r="B2" s="11"/>
      <c r="C2" s="11"/>
      <c r="D2" s="11"/>
      <c r="E2" s="11"/>
    </row>
    <row r="3" ht="19.5" customHeight="1" spans="1:5" x14ac:dyDescent="0.25">
      <c r="A3" s="9" t="s">
        <v>526</v>
      </c>
      <c r="B3" s="9" t="s">
        <v>477</v>
      </c>
      <c r="C3" s="9" t="s">
        <v>478</v>
      </c>
      <c r="D3" s="9" t="s">
        <v>479</v>
      </c>
      <c r="E3" s="9" t="s">
        <v>480</v>
      </c>
    </row>
    <row r="4" ht="19.5" customHeight="1" spans="1:5" x14ac:dyDescent="0.25">
      <c r="A4" s="11" t="s">
        <v>527</v>
      </c>
      <c r="B4" s="11" t="s">
        <v>528</v>
      </c>
      <c r="C4" s="19">
        <f>'7_공사비'!C14</f>
      </c>
      <c r="D4" s="19">
        <f>'7_공사비'!D14</f>
      </c>
      <c r="E4" s="19">
        <f>'7_공사비'!E14</f>
      </c>
    </row>
    <row r="5" ht="19.5" customHeight="1" spans="1:5" x14ac:dyDescent="0.25">
      <c r="A5" s="11" t="s">
        <v>520</v>
      </c>
      <c r="B5" s="11" t="s">
        <v>529</v>
      </c>
      <c r="C5" s="19">
        <f>'8_시공전후'!D14</f>
      </c>
      <c r="D5" s="19">
        <f>'8_시공전후'!E14</f>
      </c>
      <c r="E5" s="19">
        <f>'8_시공전후'!F14</f>
      </c>
    </row>
    <row r="6" ht="19.5" customHeight="1" spans="1:5" x14ac:dyDescent="0.25">
      <c r="A6" s="21" t="s">
        <v>530</v>
      </c>
      <c r="B6" s="21" t="s">
        <v>531</v>
      </c>
      <c r="C6" s="24">
        <f>IF(C5&lt;=0,"회수 불가",C4/C5)</f>
      </c>
      <c r="D6" s="24">
        <f>IF(D5&lt;=0,"회수 불가",D4/D5)</f>
      </c>
      <c r="E6" s="24">
        <f>IF(E5&lt;=0,"회수 불가",E4/E5)</f>
      </c>
    </row>
    <row r="7" ht="19.5" customHeight="1" spans="1:5" x14ac:dyDescent="0.25">
      <c r="A7" s="11" t="s">
        <v>532</v>
      </c>
      <c r="B7" s="11" t="s">
        <v>87</v>
      </c>
      <c r="C7" s="25">
        <f>'1_입력값'!D17</f>
      </c>
      <c r="D7" s="25">
        <f>'1_입력값'!D17</f>
      </c>
      <c r="E7" s="25">
        <f>'1_입력값'!D17</f>
      </c>
    </row>
    <row r="8" ht="19.5" customHeight="1" spans="1:5" x14ac:dyDescent="0.25">
      <c r="A8" s="21" t="s">
        <v>533</v>
      </c>
      <c r="B8" s="21" t="s">
        <v>534</v>
      </c>
      <c r="C8" s="22">
        <f>C5*C7-C4</f>
      </c>
      <c r="D8" s="22">
        <f>D5*D7-D4</f>
      </c>
      <c r="E8" s="22">
        <f>E5*E7-E4</f>
      </c>
    </row>
    <row r="9" ht="19.5" customHeight="1" spans="1:5" x14ac:dyDescent="0.25">
      <c r="A9" s="21" t="s">
        <v>535</v>
      </c>
      <c r="B9" s="21" t="s">
        <v>536</v>
      </c>
      <c r="C9" s="26">
        <f>C5/C4*100</f>
      </c>
      <c r="D9" s="26">
        <f>D5/D4*100</f>
      </c>
      <c r="E9" s="26">
        <f>E5/E4*100</f>
      </c>
    </row>
    <row r="10" ht="52.5" customHeight="1" spans="1:5" x14ac:dyDescent="0.25">
      <c r="A10" s="21" t="s">
        <v>537</v>
      </c>
      <c r="B10" s="21" t="s">
        <v>538</v>
      </c>
      <c r="C10" s="21">
        <f>IF(COUNT('10_누적·민감도'!F4:F64)=0,"60년 초과",MIN('10_누적·민감도'!F4:F64))</f>
      </c>
      <c r="D10" s="21">
        <f>IF(COUNT('10_누적·민감도'!G4:G64)=0,"60년 초과",MIN('10_누적·민감도'!G4:G64))</f>
      </c>
      <c r="E10" s="21">
        <f>IF(COUNT('10_누적·민감도'!H4:H64)=0,"60년 초과",MIN('10_누적·민감도'!H4:H64))</f>
      </c>
    </row>
    <row r="11" ht="36" customHeight="1" spans="1:5" x14ac:dyDescent="0.25">
      <c r="A11" s="11" t="s">
        <v>539</v>
      </c>
      <c r="B11" s="11" t="s">
        <v>540</v>
      </c>
      <c r="C11" s="11">
        <f>'11_인센티브'!B24</f>
      </c>
      <c r="D11" s="11">
        <f>'11_인센티브'!C24</f>
      </c>
      <c r="E11" s="11">
        <f>'11_인센티브'!D24</f>
      </c>
    </row>
    <row r="12" ht="19.5" customHeight="1" spans="1:5" x14ac:dyDescent="0.25">
      <c r="A12" s="11" t="s">
        <v>541</v>
      </c>
      <c r="B12" s="11" t="s">
        <v>542</v>
      </c>
      <c r="C12" s="11">
        <f>'11_인센티브'!B25+'11_인센티브'!B26</f>
      </c>
      <c r="D12" s="11">
        <f>'11_인센티브'!C25+'11_인센티브'!C26</f>
      </c>
      <c r="E12" s="11">
        <f>'11_인센티브'!D25+'11_인센티브'!D26</f>
      </c>
    </row>
    <row r="13" ht="36" customHeight="1" spans="1:5" x14ac:dyDescent="0.25">
      <c r="A13" s="11" t="s">
        <v>543</v>
      </c>
      <c r="B13" s="11" t="s">
        <v>544</v>
      </c>
      <c r="C13" s="11"/>
      <c r="D13" s="11"/>
      <c r="E13" s="11"/>
    </row>
    <row r="14" ht="19.5" customHeight="1" spans="1:5" x14ac:dyDescent="0.25">
      <c r="A14" s="11" t="s">
        <v>545</v>
      </c>
      <c r="B14" s="11" t="s">
        <v>546</v>
      </c>
      <c r="C14" s="11"/>
      <c r="D14" s="11"/>
      <c r="E14" s="11"/>
    </row>
  </sheetData>
  <mergeCells count="3">
    <mergeCell ref="A2:E2"/>
    <mergeCell ref="B13:E13"/>
    <mergeCell ref="B14:E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FormatPr defaultRowHeight="15" outlineLevelRow="0" outlineLevelCol="0" x14ac:dyDescent="55"/>
  <cols>
    <col min="1" max="1" width="26" customWidth="1"/>
    <col min="2" max="16" width="16" customWidth="1"/>
  </cols>
  <sheetData>
    <row r="1" ht="19.5" customHeight="1" spans="1:16" s="16" customFormat="1" x14ac:dyDescent="0.25">
      <c r="A1" s="17" t="s">
        <v>547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ht="19.5" customHeight="1" spans="1:16" x14ac:dyDescent="0.25">
      <c r="A2" s="11" t="s">
        <v>548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ht="36" customHeight="1" spans="1:8" x14ac:dyDescent="0.25">
      <c r="A3" s="9" t="s">
        <v>549</v>
      </c>
      <c r="B3" s="9" t="s">
        <v>550</v>
      </c>
      <c r="C3" s="9" t="s">
        <v>478</v>
      </c>
      <c r="D3" s="9" t="s">
        <v>479</v>
      </c>
      <c r="E3" s="9" t="s">
        <v>480</v>
      </c>
      <c r="F3" s="9" t="s">
        <v>551</v>
      </c>
      <c r="G3" s="9" t="s">
        <v>552</v>
      </c>
      <c r="H3" s="9" t="s">
        <v>553</v>
      </c>
    </row>
    <row r="4" ht="19.5" customHeight="1" spans="1:8" x14ac:dyDescent="0.25">
      <c r="A4" s="11">
        <v>0</v>
      </c>
      <c r="B4" s="19">
        <f>'8_시공전후'!C11*IF(('1_입력값'!$D$16/100)=0,A4,((1+('1_입력값'!$D$16/100))^A4-1)/('1_입력값'!$D$16/100))</f>
      </c>
      <c r="C4" s="19">
        <f>'7_공사비'!C14+'8_시공전후'!D11*IF(('1_입력값'!$D$16/100)=0,A4,((1+('1_입력값'!$D$16/100))^A4-1)/('1_입력값'!$D$16/100))+'8_시공전후'!D13*A4-('11_인센티브'!B$24+'11_인센티브'!B$25*MIN(A4,'11_인센티브'!$B$12)+'11_인센티브'!B$26*MIN(A4,'11_인센티브'!$B$15))</f>
      </c>
      <c r="D4" s="19">
        <f>'7_공사비'!D14+'8_시공전후'!E11*IF(('1_입력값'!$D$16/100)=0,A4,((1+('1_입력값'!$D$16/100))^A4-1)/('1_입력값'!$D$16/100))+'8_시공전후'!E13*A4-('11_인센티브'!C$24+'11_인센티브'!C$25*MIN(A4,'11_인센티브'!$B$12)+'11_인센티브'!C$26*MIN(A4,'11_인센티브'!$B$15))</f>
      </c>
      <c r="E4" s="19">
        <f>'7_공사비'!E14+'8_시공전후'!F11*IF(('1_입력값'!$D$16/100)=0,A4,((1+('1_입력값'!$D$16/100))^A4-1)/('1_입력값'!$D$16/100))+'8_시공전후'!F13*A4-('11_인센티브'!D$24+'11_인센티브'!D$25*MIN(A4,'11_인센티브'!$B$12)+'11_인센티브'!D$26*MIN(A4,'11_인센티브'!$B$15))</f>
      </c>
      <c r="F4" s="11">
        <f>IF(C4&lt;=B4,A4,"")</f>
      </c>
      <c r="G4" s="11">
        <f>IF(D4&lt;=B4,A4,"")</f>
      </c>
      <c r="H4" s="11">
        <f>IF(E4&lt;=B4,A4,"")</f>
      </c>
    </row>
    <row r="5" ht="19.5" customHeight="1" spans="1:8" x14ac:dyDescent="0.25">
      <c r="A5" s="11">
        <v>1</v>
      </c>
      <c r="B5" s="19">
        <f>'8_시공전후'!C11*IF(('1_입력값'!$D$16/100)=0,A5,((1+('1_입력값'!$D$16/100))^A5-1)/('1_입력값'!$D$16/100))</f>
      </c>
      <c r="C5" s="19">
        <f>'7_공사비'!C14+'8_시공전후'!D11*IF(('1_입력값'!$D$16/100)=0,A5,((1+('1_입력값'!$D$16/100))^A5-1)/('1_입력값'!$D$16/100))+'8_시공전후'!D13*A5-('11_인센티브'!B$24+'11_인센티브'!B$25*MIN(A5,'11_인센티브'!$B$12)+'11_인센티브'!B$26*MIN(A5,'11_인센티브'!$B$15))</f>
      </c>
      <c r="D5" s="19">
        <f>'7_공사비'!D14+'8_시공전후'!E11*IF(('1_입력값'!$D$16/100)=0,A5,((1+('1_입력값'!$D$16/100))^A5-1)/('1_입력값'!$D$16/100))+'8_시공전후'!E13*A5-('11_인센티브'!C$24+'11_인센티브'!C$25*MIN(A5,'11_인센티브'!$B$12)+'11_인센티브'!C$26*MIN(A5,'11_인센티브'!$B$15))</f>
      </c>
      <c r="E5" s="19">
        <f>'7_공사비'!E14+'8_시공전후'!F11*IF(('1_입력값'!$D$16/100)=0,A5,((1+('1_입력값'!$D$16/100))^A5-1)/('1_입력값'!$D$16/100))+'8_시공전후'!F13*A5-('11_인센티브'!D$24+'11_인센티브'!D$25*MIN(A5,'11_인센티브'!$B$12)+'11_인센티브'!D$26*MIN(A5,'11_인센티브'!$B$15))</f>
      </c>
      <c r="F5" s="11">
        <f>IF(C5&lt;=B5,A5,"")</f>
      </c>
      <c r="G5" s="11">
        <f>IF(D5&lt;=B5,A5,"")</f>
      </c>
      <c r="H5" s="11">
        <f>IF(E5&lt;=B5,A5,"")</f>
      </c>
    </row>
    <row r="6" ht="19.5" customHeight="1" spans="1:8" x14ac:dyDescent="0.25">
      <c r="A6" s="11">
        <v>2</v>
      </c>
      <c r="B6" s="19">
        <f>'8_시공전후'!C11*IF(('1_입력값'!$D$16/100)=0,A6,((1+('1_입력값'!$D$16/100))^A6-1)/('1_입력값'!$D$16/100))</f>
      </c>
      <c r="C6" s="19">
        <f>'7_공사비'!C14+'8_시공전후'!D11*IF(('1_입력값'!$D$16/100)=0,A6,((1+('1_입력값'!$D$16/100))^A6-1)/('1_입력값'!$D$16/100))+'8_시공전후'!D13*A6-('11_인센티브'!B$24+'11_인센티브'!B$25*MIN(A6,'11_인센티브'!$B$12)+'11_인센티브'!B$26*MIN(A6,'11_인센티브'!$B$15))</f>
      </c>
      <c r="D6" s="19">
        <f>'7_공사비'!D14+'8_시공전후'!E11*IF(('1_입력값'!$D$16/100)=0,A6,((1+('1_입력값'!$D$16/100))^A6-1)/('1_입력값'!$D$16/100))+'8_시공전후'!E13*A6-('11_인센티브'!C$24+'11_인센티브'!C$25*MIN(A6,'11_인센티브'!$B$12)+'11_인센티브'!C$26*MIN(A6,'11_인센티브'!$B$15))</f>
      </c>
      <c r="E6" s="19">
        <f>'7_공사비'!E14+'8_시공전후'!F11*IF(('1_입력값'!$D$16/100)=0,A6,((1+('1_입력값'!$D$16/100))^A6-1)/('1_입력값'!$D$16/100))+'8_시공전후'!F13*A6-('11_인센티브'!D$24+'11_인센티브'!D$25*MIN(A6,'11_인센티브'!$B$12)+'11_인센티브'!D$26*MIN(A6,'11_인센티브'!$B$15))</f>
      </c>
      <c r="F6" s="11">
        <f>IF(C6&lt;=B6,A6,"")</f>
      </c>
      <c r="G6" s="11">
        <f>IF(D6&lt;=B6,A6,"")</f>
      </c>
      <c r="H6" s="11">
        <f>IF(E6&lt;=B6,A6,"")</f>
      </c>
    </row>
    <row r="7" ht="19.5" customHeight="1" spans="1:8" x14ac:dyDescent="0.25">
      <c r="A7" s="11">
        <v>3</v>
      </c>
      <c r="B7" s="19">
        <f>'8_시공전후'!C11*IF(('1_입력값'!$D$16/100)=0,A7,((1+('1_입력값'!$D$16/100))^A7-1)/('1_입력값'!$D$16/100))</f>
      </c>
      <c r="C7" s="19">
        <f>'7_공사비'!C14+'8_시공전후'!D11*IF(('1_입력값'!$D$16/100)=0,A7,((1+('1_입력값'!$D$16/100))^A7-1)/('1_입력값'!$D$16/100))+'8_시공전후'!D13*A7-('11_인센티브'!B$24+'11_인센티브'!B$25*MIN(A7,'11_인센티브'!$B$12)+'11_인센티브'!B$26*MIN(A7,'11_인센티브'!$B$15))</f>
      </c>
      <c r="D7" s="19">
        <f>'7_공사비'!D14+'8_시공전후'!E11*IF(('1_입력값'!$D$16/100)=0,A7,((1+('1_입력값'!$D$16/100))^A7-1)/('1_입력값'!$D$16/100))+'8_시공전후'!E13*A7-('11_인센티브'!C$24+'11_인센티브'!C$25*MIN(A7,'11_인센티브'!$B$12)+'11_인센티브'!C$26*MIN(A7,'11_인센티브'!$B$15))</f>
      </c>
      <c r="E7" s="19">
        <f>'7_공사비'!E14+'8_시공전후'!F11*IF(('1_입력값'!$D$16/100)=0,A7,((1+('1_입력값'!$D$16/100))^A7-1)/('1_입력값'!$D$16/100))+'8_시공전후'!F13*A7-('11_인센티브'!D$24+'11_인센티브'!D$25*MIN(A7,'11_인센티브'!$B$12)+'11_인센티브'!D$26*MIN(A7,'11_인센티브'!$B$15))</f>
      </c>
      <c r="F7" s="11">
        <f>IF(C7&lt;=B7,A7,"")</f>
      </c>
      <c r="G7" s="11">
        <f>IF(D7&lt;=B7,A7,"")</f>
      </c>
      <c r="H7" s="11">
        <f>IF(E7&lt;=B7,A7,"")</f>
      </c>
    </row>
    <row r="8" ht="19.5" customHeight="1" spans="1:8" x14ac:dyDescent="0.25">
      <c r="A8" s="11">
        <v>4</v>
      </c>
      <c r="B8" s="19">
        <f>'8_시공전후'!C11*IF(('1_입력값'!$D$16/100)=0,A8,((1+('1_입력값'!$D$16/100))^A8-1)/('1_입력값'!$D$16/100))</f>
      </c>
      <c r="C8" s="19">
        <f>'7_공사비'!C14+'8_시공전후'!D11*IF(('1_입력값'!$D$16/100)=0,A8,((1+('1_입력값'!$D$16/100))^A8-1)/('1_입력값'!$D$16/100))+'8_시공전후'!D13*A8-('11_인센티브'!B$24+'11_인센티브'!B$25*MIN(A8,'11_인센티브'!$B$12)+'11_인센티브'!B$26*MIN(A8,'11_인센티브'!$B$15))</f>
      </c>
      <c r="D8" s="19">
        <f>'7_공사비'!D14+'8_시공전후'!E11*IF(('1_입력값'!$D$16/100)=0,A8,((1+('1_입력값'!$D$16/100))^A8-1)/('1_입력값'!$D$16/100))+'8_시공전후'!E13*A8-('11_인센티브'!C$24+'11_인센티브'!C$25*MIN(A8,'11_인센티브'!$B$12)+'11_인센티브'!C$26*MIN(A8,'11_인센티브'!$B$15))</f>
      </c>
      <c r="E8" s="19">
        <f>'7_공사비'!E14+'8_시공전후'!F11*IF(('1_입력값'!$D$16/100)=0,A8,((1+('1_입력값'!$D$16/100))^A8-1)/('1_입력값'!$D$16/100))+'8_시공전후'!F13*A8-('11_인센티브'!D$24+'11_인센티브'!D$25*MIN(A8,'11_인센티브'!$B$12)+'11_인센티브'!D$26*MIN(A8,'11_인센티브'!$B$15))</f>
      </c>
      <c r="F8" s="11">
        <f>IF(C8&lt;=B8,A8,"")</f>
      </c>
      <c r="G8" s="11">
        <f>IF(D8&lt;=B8,A8,"")</f>
      </c>
      <c r="H8" s="11">
        <f>IF(E8&lt;=B8,A8,"")</f>
      </c>
    </row>
    <row r="9" ht="19.5" customHeight="1" spans="1:8" x14ac:dyDescent="0.25">
      <c r="A9" s="11">
        <v>5</v>
      </c>
      <c r="B9" s="19">
        <f>'8_시공전후'!C11*IF(('1_입력값'!$D$16/100)=0,A9,((1+('1_입력값'!$D$16/100))^A9-1)/('1_입력값'!$D$16/100))</f>
      </c>
      <c r="C9" s="19">
        <f>'7_공사비'!C14+'8_시공전후'!D11*IF(('1_입력값'!$D$16/100)=0,A9,((1+('1_입력값'!$D$16/100))^A9-1)/('1_입력값'!$D$16/100))+'8_시공전후'!D13*A9-('11_인센티브'!B$24+'11_인센티브'!B$25*MIN(A9,'11_인센티브'!$B$12)+'11_인센티브'!B$26*MIN(A9,'11_인센티브'!$B$15))</f>
      </c>
      <c r="D9" s="19">
        <f>'7_공사비'!D14+'8_시공전후'!E11*IF(('1_입력값'!$D$16/100)=0,A9,((1+('1_입력값'!$D$16/100))^A9-1)/('1_입력값'!$D$16/100))+'8_시공전후'!E13*A9-('11_인센티브'!C$24+'11_인센티브'!C$25*MIN(A9,'11_인센티브'!$B$12)+'11_인센티브'!C$26*MIN(A9,'11_인센티브'!$B$15))</f>
      </c>
      <c r="E9" s="19">
        <f>'7_공사비'!E14+'8_시공전후'!F11*IF(('1_입력값'!$D$16/100)=0,A9,((1+('1_입력값'!$D$16/100))^A9-1)/('1_입력값'!$D$16/100))+'8_시공전후'!F13*A9-('11_인센티브'!D$24+'11_인센티브'!D$25*MIN(A9,'11_인센티브'!$B$12)+'11_인센티브'!D$26*MIN(A9,'11_인센티브'!$B$15))</f>
      </c>
      <c r="F9" s="11">
        <f>IF(C9&lt;=B9,A9,"")</f>
      </c>
      <c r="G9" s="11">
        <f>IF(D9&lt;=B9,A9,"")</f>
      </c>
      <c r="H9" s="11">
        <f>IF(E9&lt;=B9,A9,"")</f>
      </c>
    </row>
    <row r="10" ht="19.5" customHeight="1" spans="1:8" x14ac:dyDescent="0.25">
      <c r="A10" s="11">
        <v>6</v>
      </c>
      <c r="B10" s="19">
        <f>'8_시공전후'!C11*IF(('1_입력값'!$D$16/100)=0,A10,((1+('1_입력값'!$D$16/100))^A10-1)/('1_입력값'!$D$16/100))</f>
      </c>
      <c r="C10" s="19">
        <f>'7_공사비'!C14+'8_시공전후'!D11*IF(('1_입력값'!$D$16/100)=0,A10,((1+('1_입력값'!$D$16/100))^A10-1)/('1_입력값'!$D$16/100))+'8_시공전후'!D13*A10-('11_인센티브'!B$24+'11_인센티브'!B$25*MIN(A10,'11_인센티브'!$B$12)+'11_인센티브'!B$26*MIN(A10,'11_인센티브'!$B$15))</f>
      </c>
      <c r="D10" s="19">
        <f>'7_공사비'!D14+'8_시공전후'!E11*IF(('1_입력값'!$D$16/100)=0,A10,((1+('1_입력값'!$D$16/100))^A10-1)/('1_입력값'!$D$16/100))+'8_시공전후'!E13*A10-('11_인센티브'!C$24+'11_인센티브'!C$25*MIN(A10,'11_인센티브'!$B$12)+'11_인센티브'!C$26*MIN(A10,'11_인센티브'!$B$15))</f>
      </c>
      <c r="E10" s="19">
        <f>'7_공사비'!E14+'8_시공전후'!F11*IF(('1_입력값'!$D$16/100)=0,A10,((1+('1_입력값'!$D$16/100))^A10-1)/('1_입력값'!$D$16/100))+'8_시공전후'!F13*A10-('11_인센티브'!D$24+'11_인센티브'!D$25*MIN(A10,'11_인센티브'!$B$12)+'11_인센티브'!D$26*MIN(A10,'11_인센티브'!$B$15))</f>
      </c>
      <c r="F10" s="11">
        <f>IF(C10&lt;=B10,A10,"")</f>
      </c>
      <c r="G10" s="11">
        <f>IF(D10&lt;=B10,A10,"")</f>
      </c>
      <c r="H10" s="11">
        <f>IF(E10&lt;=B10,A10,"")</f>
      </c>
    </row>
    <row r="11" ht="19.5" customHeight="1" spans="1:8" x14ac:dyDescent="0.25">
      <c r="A11" s="11">
        <v>7</v>
      </c>
      <c r="B11" s="19">
        <f>'8_시공전후'!C11*IF(('1_입력값'!$D$16/100)=0,A11,((1+('1_입력값'!$D$16/100))^A11-1)/('1_입력값'!$D$16/100))</f>
      </c>
      <c r="C11" s="19">
        <f>'7_공사비'!C14+'8_시공전후'!D11*IF(('1_입력값'!$D$16/100)=0,A11,((1+('1_입력값'!$D$16/100))^A11-1)/('1_입력값'!$D$16/100))+'8_시공전후'!D13*A11-('11_인센티브'!B$24+'11_인센티브'!B$25*MIN(A11,'11_인센티브'!$B$12)+'11_인센티브'!B$26*MIN(A11,'11_인센티브'!$B$15))</f>
      </c>
      <c r="D11" s="19">
        <f>'7_공사비'!D14+'8_시공전후'!E11*IF(('1_입력값'!$D$16/100)=0,A11,((1+('1_입력값'!$D$16/100))^A11-1)/('1_입력값'!$D$16/100))+'8_시공전후'!E13*A11-('11_인센티브'!C$24+'11_인센티브'!C$25*MIN(A11,'11_인센티브'!$B$12)+'11_인센티브'!C$26*MIN(A11,'11_인센티브'!$B$15))</f>
      </c>
      <c r="E11" s="19">
        <f>'7_공사비'!E14+'8_시공전후'!F11*IF(('1_입력값'!$D$16/100)=0,A11,((1+('1_입력값'!$D$16/100))^A11-1)/('1_입력값'!$D$16/100))+'8_시공전후'!F13*A11-('11_인센티브'!D$24+'11_인센티브'!D$25*MIN(A11,'11_인센티브'!$B$12)+'11_인센티브'!D$26*MIN(A11,'11_인센티브'!$B$15))</f>
      </c>
      <c r="F11" s="11">
        <f>IF(C11&lt;=B11,A11,"")</f>
      </c>
      <c r="G11" s="11">
        <f>IF(D11&lt;=B11,A11,"")</f>
      </c>
      <c r="H11" s="11">
        <f>IF(E11&lt;=B11,A11,"")</f>
      </c>
    </row>
    <row r="12" ht="19.5" customHeight="1" spans="1:8" x14ac:dyDescent="0.25">
      <c r="A12" s="11">
        <v>8</v>
      </c>
      <c r="B12" s="19">
        <f>'8_시공전후'!C11*IF(('1_입력값'!$D$16/100)=0,A12,((1+('1_입력값'!$D$16/100))^A12-1)/('1_입력값'!$D$16/100))</f>
      </c>
      <c r="C12" s="19">
        <f>'7_공사비'!C14+'8_시공전후'!D11*IF(('1_입력값'!$D$16/100)=0,A12,((1+('1_입력값'!$D$16/100))^A12-1)/('1_입력값'!$D$16/100))+'8_시공전후'!D13*A12-('11_인센티브'!B$24+'11_인센티브'!B$25*MIN(A12,'11_인센티브'!$B$12)+'11_인센티브'!B$26*MIN(A12,'11_인센티브'!$B$15))</f>
      </c>
      <c r="D12" s="19">
        <f>'7_공사비'!D14+'8_시공전후'!E11*IF(('1_입력값'!$D$16/100)=0,A12,((1+('1_입력값'!$D$16/100))^A12-1)/('1_입력값'!$D$16/100))+'8_시공전후'!E13*A12-('11_인센티브'!C$24+'11_인센티브'!C$25*MIN(A12,'11_인센티브'!$B$12)+'11_인센티브'!C$26*MIN(A12,'11_인센티브'!$B$15))</f>
      </c>
      <c r="E12" s="19">
        <f>'7_공사비'!E14+'8_시공전후'!F11*IF(('1_입력값'!$D$16/100)=0,A12,((1+('1_입력값'!$D$16/100))^A12-1)/('1_입력값'!$D$16/100))+'8_시공전후'!F13*A12-('11_인센티브'!D$24+'11_인센티브'!D$25*MIN(A12,'11_인센티브'!$B$12)+'11_인센티브'!D$26*MIN(A12,'11_인센티브'!$B$15))</f>
      </c>
      <c r="F12" s="11">
        <f>IF(C12&lt;=B12,A12,"")</f>
      </c>
      <c r="G12" s="11">
        <f>IF(D12&lt;=B12,A12,"")</f>
      </c>
      <c r="H12" s="11">
        <f>IF(E12&lt;=B12,A12,"")</f>
      </c>
    </row>
    <row r="13" ht="19.5" customHeight="1" spans="1:8" x14ac:dyDescent="0.25">
      <c r="A13" s="11">
        <v>9</v>
      </c>
      <c r="B13" s="19">
        <f>'8_시공전후'!C11*IF(('1_입력값'!$D$16/100)=0,A13,((1+('1_입력값'!$D$16/100))^A13-1)/('1_입력값'!$D$16/100))</f>
      </c>
      <c r="C13" s="19">
        <f>'7_공사비'!C14+'8_시공전후'!D11*IF(('1_입력값'!$D$16/100)=0,A13,((1+('1_입력값'!$D$16/100))^A13-1)/('1_입력값'!$D$16/100))+'8_시공전후'!D13*A13-('11_인센티브'!B$24+'11_인센티브'!B$25*MIN(A13,'11_인센티브'!$B$12)+'11_인센티브'!B$26*MIN(A13,'11_인센티브'!$B$15))</f>
      </c>
      <c r="D13" s="19">
        <f>'7_공사비'!D14+'8_시공전후'!E11*IF(('1_입력값'!$D$16/100)=0,A13,((1+('1_입력값'!$D$16/100))^A13-1)/('1_입력값'!$D$16/100))+'8_시공전후'!E13*A13-('11_인센티브'!C$24+'11_인센티브'!C$25*MIN(A13,'11_인센티브'!$B$12)+'11_인센티브'!C$26*MIN(A13,'11_인센티브'!$B$15))</f>
      </c>
      <c r="E13" s="19">
        <f>'7_공사비'!E14+'8_시공전후'!F11*IF(('1_입력값'!$D$16/100)=0,A13,((1+('1_입력값'!$D$16/100))^A13-1)/('1_입력값'!$D$16/100))+'8_시공전후'!F13*A13-('11_인센티브'!D$24+'11_인센티브'!D$25*MIN(A13,'11_인센티브'!$B$12)+'11_인센티브'!D$26*MIN(A13,'11_인센티브'!$B$15))</f>
      </c>
      <c r="F13" s="11">
        <f>IF(C13&lt;=B13,A13,"")</f>
      </c>
      <c r="G13" s="11">
        <f>IF(D13&lt;=B13,A13,"")</f>
      </c>
      <c r="H13" s="11">
        <f>IF(E13&lt;=B13,A13,"")</f>
      </c>
    </row>
    <row r="14" ht="19.5" customHeight="1" spans="1:8" x14ac:dyDescent="0.25">
      <c r="A14" s="11">
        <v>10</v>
      </c>
      <c r="B14" s="19">
        <f>'8_시공전후'!C11*IF(('1_입력값'!$D$16/100)=0,A14,((1+('1_입력값'!$D$16/100))^A14-1)/('1_입력값'!$D$16/100))</f>
      </c>
      <c r="C14" s="19">
        <f>'7_공사비'!C14+'8_시공전후'!D11*IF(('1_입력값'!$D$16/100)=0,A14,((1+('1_입력값'!$D$16/100))^A14-1)/('1_입력값'!$D$16/100))+'8_시공전후'!D13*A14-('11_인센티브'!B$24+'11_인센티브'!B$25*MIN(A14,'11_인센티브'!$B$12)+'11_인센티브'!B$26*MIN(A14,'11_인센티브'!$B$15))</f>
      </c>
      <c r="D14" s="19">
        <f>'7_공사비'!D14+'8_시공전후'!E11*IF(('1_입력값'!$D$16/100)=0,A14,((1+('1_입력값'!$D$16/100))^A14-1)/('1_입력값'!$D$16/100))+'8_시공전후'!E13*A14-('11_인센티브'!C$24+'11_인센티브'!C$25*MIN(A14,'11_인센티브'!$B$12)+'11_인센티브'!C$26*MIN(A14,'11_인센티브'!$B$15))</f>
      </c>
      <c r="E14" s="19">
        <f>'7_공사비'!E14+'8_시공전후'!F11*IF(('1_입력값'!$D$16/100)=0,A14,((1+('1_입력값'!$D$16/100))^A14-1)/('1_입력값'!$D$16/100))+'8_시공전후'!F13*A14-('11_인센티브'!D$24+'11_인센티브'!D$25*MIN(A14,'11_인센티브'!$B$12)+'11_인센티브'!D$26*MIN(A14,'11_인센티브'!$B$15))</f>
      </c>
      <c r="F14" s="11">
        <f>IF(C14&lt;=B14,A14,"")</f>
      </c>
      <c r="G14" s="11">
        <f>IF(D14&lt;=B14,A14,"")</f>
      </c>
      <c r="H14" s="11">
        <f>IF(E14&lt;=B14,A14,"")</f>
      </c>
    </row>
    <row r="15" ht="19.5" customHeight="1" spans="1:8" x14ac:dyDescent="0.25">
      <c r="A15" s="11">
        <v>11</v>
      </c>
      <c r="B15" s="19">
        <f>'8_시공전후'!C11*IF(('1_입력값'!$D$16/100)=0,A15,((1+('1_입력값'!$D$16/100))^A15-1)/('1_입력값'!$D$16/100))</f>
      </c>
      <c r="C15" s="19">
        <f>'7_공사비'!C14+'8_시공전후'!D11*IF(('1_입력값'!$D$16/100)=0,A15,((1+('1_입력값'!$D$16/100))^A15-1)/('1_입력값'!$D$16/100))+'8_시공전후'!D13*A15-('11_인센티브'!B$24+'11_인센티브'!B$25*MIN(A15,'11_인센티브'!$B$12)+'11_인센티브'!B$26*MIN(A15,'11_인센티브'!$B$15))</f>
      </c>
      <c r="D15" s="19">
        <f>'7_공사비'!D14+'8_시공전후'!E11*IF(('1_입력값'!$D$16/100)=0,A15,((1+('1_입력값'!$D$16/100))^A15-1)/('1_입력값'!$D$16/100))+'8_시공전후'!E13*A15-('11_인센티브'!C$24+'11_인센티브'!C$25*MIN(A15,'11_인센티브'!$B$12)+'11_인센티브'!C$26*MIN(A15,'11_인센티브'!$B$15))</f>
      </c>
      <c r="E15" s="19">
        <f>'7_공사비'!E14+'8_시공전후'!F11*IF(('1_입력값'!$D$16/100)=0,A15,((1+('1_입력값'!$D$16/100))^A15-1)/('1_입력값'!$D$16/100))+'8_시공전후'!F13*A15-('11_인센티브'!D$24+'11_인센티브'!D$25*MIN(A15,'11_인센티브'!$B$12)+'11_인센티브'!D$26*MIN(A15,'11_인센티브'!$B$15))</f>
      </c>
      <c r="F15" s="11">
        <f>IF(C15&lt;=B15,A15,"")</f>
      </c>
      <c r="G15" s="11">
        <f>IF(D15&lt;=B15,A15,"")</f>
      </c>
      <c r="H15" s="11">
        <f>IF(E15&lt;=B15,A15,"")</f>
      </c>
    </row>
    <row r="16" ht="19.5" customHeight="1" spans="1:8" x14ac:dyDescent="0.25">
      <c r="A16" s="11">
        <v>12</v>
      </c>
      <c r="B16" s="19">
        <f>'8_시공전후'!C11*IF(('1_입력값'!$D$16/100)=0,A16,((1+('1_입력값'!$D$16/100))^A16-1)/('1_입력값'!$D$16/100))</f>
      </c>
      <c r="C16" s="19">
        <f>'7_공사비'!C14+'8_시공전후'!D11*IF(('1_입력값'!$D$16/100)=0,A16,((1+('1_입력값'!$D$16/100))^A16-1)/('1_입력값'!$D$16/100))+'8_시공전후'!D13*A16-('11_인센티브'!B$24+'11_인센티브'!B$25*MIN(A16,'11_인센티브'!$B$12)+'11_인센티브'!B$26*MIN(A16,'11_인센티브'!$B$15))</f>
      </c>
      <c r="D16" s="19">
        <f>'7_공사비'!D14+'8_시공전후'!E11*IF(('1_입력값'!$D$16/100)=0,A16,((1+('1_입력값'!$D$16/100))^A16-1)/('1_입력값'!$D$16/100))+'8_시공전후'!E13*A16-('11_인센티브'!C$24+'11_인센티브'!C$25*MIN(A16,'11_인센티브'!$B$12)+'11_인센티브'!C$26*MIN(A16,'11_인센티브'!$B$15))</f>
      </c>
      <c r="E16" s="19">
        <f>'7_공사비'!E14+'8_시공전후'!F11*IF(('1_입력값'!$D$16/100)=0,A16,((1+('1_입력값'!$D$16/100))^A16-1)/('1_입력값'!$D$16/100))+'8_시공전후'!F13*A16-('11_인센티브'!D$24+'11_인센티브'!D$25*MIN(A16,'11_인센티브'!$B$12)+'11_인센티브'!D$26*MIN(A16,'11_인센티브'!$B$15))</f>
      </c>
      <c r="F16" s="11">
        <f>IF(C16&lt;=B16,A16,"")</f>
      </c>
      <c r="G16" s="11">
        <f>IF(D16&lt;=B16,A16,"")</f>
      </c>
      <c r="H16" s="11">
        <f>IF(E16&lt;=B16,A16,"")</f>
      </c>
    </row>
    <row r="17" ht="19.5" customHeight="1" spans="1:8" x14ac:dyDescent="0.25">
      <c r="A17" s="11">
        <v>13</v>
      </c>
      <c r="B17" s="19">
        <f>'8_시공전후'!C11*IF(('1_입력값'!$D$16/100)=0,A17,((1+('1_입력값'!$D$16/100))^A17-1)/('1_입력값'!$D$16/100))</f>
      </c>
      <c r="C17" s="19">
        <f>'7_공사비'!C14+'8_시공전후'!D11*IF(('1_입력값'!$D$16/100)=0,A17,((1+('1_입력값'!$D$16/100))^A17-1)/('1_입력값'!$D$16/100))+'8_시공전후'!D13*A17-('11_인센티브'!B$24+'11_인센티브'!B$25*MIN(A17,'11_인센티브'!$B$12)+'11_인센티브'!B$26*MIN(A17,'11_인센티브'!$B$15))</f>
      </c>
      <c r="D17" s="19">
        <f>'7_공사비'!D14+'8_시공전후'!E11*IF(('1_입력값'!$D$16/100)=0,A17,((1+('1_입력값'!$D$16/100))^A17-1)/('1_입력값'!$D$16/100))+'8_시공전후'!E13*A17-('11_인센티브'!C$24+'11_인센티브'!C$25*MIN(A17,'11_인센티브'!$B$12)+'11_인센티브'!C$26*MIN(A17,'11_인센티브'!$B$15))</f>
      </c>
      <c r="E17" s="19">
        <f>'7_공사비'!E14+'8_시공전후'!F11*IF(('1_입력값'!$D$16/100)=0,A17,((1+('1_입력값'!$D$16/100))^A17-1)/('1_입력값'!$D$16/100))+'8_시공전후'!F13*A17-('11_인센티브'!D$24+'11_인센티브'!D$25*MIN(A17,'11_인센티브'!$B$12)+'11_인센티브'!D$26*MIN(A17,'11_인센티브'!$B$15))</f>
      </c>
      <c r="F17" s="11">
        <f>IF(C17&lt;=B17,A17,"")</f>
      </c>
      <c r="G17" s="11">
        <f>IF(D17&lt;=B17,A17,"")</f>
      </c>
      <c r="H17" s="11">
        <f>IF(E17&lt;=B17,A17,"")</f>
      </c>
    </row>
    <row r="18" ht="19.5" customHeight="1" spans="1:8" x14ac:dyDescent="0.25">
      <c r="A18" s="11">
        <v>14</v>
      </c>
      <c r="B18" s="19">
        <f>'8_시공전후'!C11*IF(('1_입력값'!$D$16/100)=0,A18,((1+('1_입력값'!$D$16/100))^A18-1)/('1_입력값'!$D$16/100))</f>
      </c>
      <c r="C18" s="19">
        <f>'7_공사비'!C14+'8_시공전후'!D11*IF(('1_입력값'!$D$16/100)=0,A18,((1+('1_입력값'!$D$16/100))^A18-1)/('1_입력값'!$D$16/100))+'8_시공전후'!D13*A18-('11_인센티브'!B$24+'11_인센티브'!B$25*MIN(A18,'11_인센티브'!$B$12)+'11_인센티브'!B$26*MIN(A18,'11_인센티브'!$B$15))</f>
      </c>
      <c r="D18" s="19">
        <f>'7_공사비'!D14+'8_시공전후'!E11*IF(('1_입력값'!$D$16/100)=0,A18,((1+('1_입력값'!$D$16/100))^A18-1)/('1_입력값'!$D$16/100))+'8_시공전후'!E13*A18-('11_인센티브'!C$24+'11_인센티브'!C$25*MIN(A18,'11_인센티브'!$B$12)+'11_인센티브'!C$26*MIN(A18,'11_인센티브'!$B$15))</f>
      </c>
      <c r="E18" s="19">
        <f>'7_공사비'!E14+'8_시공전후'!F11*IF(('1_입력값'!$D$16/100)=0,A18,((1+('1_입력값'!$D$16/100))^A18-1)/('1_입력값'!$D$16/100))+'8_시공전후'!F13*A18-('11_인센티브'!D$24+'11_인센티브'!D$25*MIN(A18,'11_인센티브'!$B$12)+'11_인센티브'!D$26*MIN(A18,'11_인센티브'!$B$15))</f>
      </c>
      <c r="F18" s="11">
        <f>IF(C18&lt;=B18,A18,"")</f>
      </c>
      <c r="G18" s="11">
        <f>IF(D18&lt;=B18,A18,"")</f>
      </c>
      <c r="H18" s="11">
        <f>IF(E18&lt;=B18,A18,"")</f>
      </c>
    </row>
    <row r="19" ht="19.5" customHeight="1" spans="1:8" x14ac:dyDescent="0.25">
      <c r="A19" s="11">
        <v>15</v>
      </c>
      <c r="B19" s="19">
        <f>'8_시공전후'!C11*IF(('1_입력값'!$D$16/100)=0,A19,((1+('1_입력값'!$D$16/100))^A19-1)/('1_입력값'!$D$16/100))</f>
      </c>
      <c r="C19" s="19">
        <f>'7_공사비'!C14+'8_시공전후'!D11*IF(('1_입력값'!$D$16/100)=0,A19,((1+('1_입력값'!$D$16/100))^A19-1)/('1_입력값'!$D$16/100))+'8_시공전후'!D13*A19-('11_인센티브'!B$24+'11_인센티브'!B$25*MIN(A19,'11_인센티브'!$B$12)+'11_인센티브'!B$26*MIN(A19,'11_인센티브'!$B$15))</f>
      </c>
      <c r="D19" s="19">
        <f>'7_공사비'!D14+'8_시공전후'!E11*IF(('1_입력값'!$D$16/100)=0,A19,((1+('1_입력값'!$D$16/100))^A19-1)/('1_입력값'!$D$16/100))+'8_시공전후'!E13*A19-('11_인센티브'!C$24+'11_인센티브'!C$25*MIN(A19,'11_인센티브'!$B$12)+'11_인센티브'!C$26*MIN(A19,'11_인센티브'!$B$15))</f>
      </c>
      <c r="E19" s="19">
        <f>'7_공사비'!E14+'8_시공전후'!F11*IF(('1_입력값'!$D$16/100)=0,A19,((1+('1_입력값'!$D$16/100))^A19-1)/('1_입력값'!$D$16/100))+'8_시공전후'!F13*A19-('11_인센티브'!D$24+'11_인센티브'!D$25*MIN(A19,'11_인센티브'!$B$12)+'11_인센티브'!D$26*MIN(A19,'11_인센티브'!$B$15))</f>
      </c>
      <c r="F19" s="11">
        <f>IF(C19&lt;=B19,A19,"")</f>
      </c>
      <c r="G19" s="11">
        <f>IF(D19&lt;=B19,A19,"")</f>
      </c>
      <c r="H19" s="11">
        <f>IF(E19&lt;=B19,A19,"")</f>
      </c>
    </row>
    <row r="20" ht="19.5" customHeight="1" spans="1:8" x14ac:dyDescent="0.25">
      <c r="A20" s="11">
        <v>16</v>
      </c>
      <c r="B20" s="19">
        <f>'8_시공전후'!C11*IF(('1_입력값'!$D$16/100)=0,A20,((1+('1_입력값'!$D$16/100))^A20-1)/('1_입력값'!$D$16/100))</f>
      </c>
      <c r="C20" s="19">
        <f>'7_공사비'!C14+'8_시공전후'!D11*IF(('1_입력값'!$D$16/100)=0,A20,((1+('1_입력값'!$D$16/100))^A20-1)/('1_입력값'!$D$16/100))+'8_시공전후'!D13*A20-('11_인센티브'!B$24+'11_인센티브'!B$25*MIN(A20,'11_인센티브'!$B$12)+'11_인센티브'!B$26*MIN(A20,'11_인센티브'!$B$15))</f>
      </c>
      <c r="D20" s="19">
        <f>'7_공사비'!D14+'8_시공전후'!E11*IF(('1_입력값'!$D$16/100)=0,A20,((1+('1_입력값'!$D$16/100))^A20-1)/('1_입력값'!$D$16/100))+'8_시공전후'!E13*A20-('11_인센티브'!C$24+'11_인센티브'!C$25*MIN(A20,'11_인센티브'!$B$12)+'11_인센티브'!C$26*MIN(A20,'11_인센티브'!$B$15))</f>
      </c>
      <c r="E20" s="19">
        <f>'7_공사비'!E14+'8_시공전후'!F11*IF(('1_입력값'!$D$16/100)=0,A20,((1+('1_입력값'!$D$16/100))^A20-1)/('1_입력값'!$D$16/100))+'8_시공전후'!F13*A20-('11_인센티브'!D$24+'11_인센티브'!D$25*MIN(A20,'11_인센티브'!$B$12)+'11_인센티브'!D$26*MIN(A20,'11_인센티브'!$B$15))</f>
      </c>
      <c r="F20" s="11">
        <f>IF(C20&lt;=B20,A20,"")</f>
      </c>
      <c r="G20" s="11">
        <f>IF(D20&lt;=B20,A20,"")</f>
      </c>
      <c r="H20" s="11">
        <f>IF(E20&lt;=B20,A20,"")</f>
      </c>
    </row>
    <row r="21" ht="19.5" customHeight="1" spans="1:8" x14ac:dyDescent="0.25">
      <c r="A21" s="11">
        <v>17</v>
      </c>
      <c r="B21" s="19">
        <f>'8_시공전후'!C11*IF(('1_입력값'!$D$16/100)=0,A21,((1+('1_입력값'!$D$16/100))^A21-1)/('1_입력값'!$D$16/100))</f>
      </c>
      <c r="C21" s="19">
        <f>'7_공사비'!C14+'8_시공전후'!D11*IF(('1_입력값'!$D$16/100)=0,A21,((1+('1_입력값'!$D$16/100))^A21-1)/('1_입력값'!$D$16/100))+'8_시공전후'!D13*A21-('11_인센티브'!B$24+'11_인센티브'!B$25*MIN(A21,'11_인센티브'!$B$12)+'11_인센티브'!B$26*MIN(A21,'11_인센티브'!$B$15))</f>
      </c>
      <c r="D21" s="19">
        <f>'7_공사비'!D14+'8_시공전후'!E11*IF(('1_입력값'!$D$16/100)=0,A21,((1+('1_입력값'!$D$16/100))^A21-1)/('1_입력값'!$D$16/100))+'8_시공전후'!E13*A21-('11_인센티브'!C$24+'11_인센티브'!C$25*MIN(A21,'11_인센티브'!$B$12)+'11_인센티브'!C$26*MIN(A21,'11_인센티브'!$B$15))</f>
      </c>
      <c r="E21" s="19">
        <f>'7_공사비'!E14+'8_시공전후'!F11*IF(('1_입력값'!$D$16/100)=0,A21,((1+('1_입력값'!$D$16/100))^A21-1)/('1_입력값'!$D$16/100))+'8_시공전후'!F13*A21-('11_인센티브'!D$24+'11_인센티브'!D$25*MIN(A21,'11_인센티브'!$B$12)+'11_인센티브'!D$26*MIN(A21,'11_인센티브'!$B$15))</f>
      </c>
      <c r="F21" s="11">
        <f>IF(C21&lt;=B21,A21,"")</f>
      </c>
      <c r="G21" s="11">
        <f>IF(D21&lt;=B21,A21,"")</f>
      </c>
      <c r="H21" s="11">
        <f>IF(E21&lt;=B21,A21,"")</f>
      </c>
    </row>
    <row r="22" ht="19.5" customHeight="1" spans="1:8" x14ac:dyDescent="0.25">
      <c r="A22" s="11">
        <v>18</v>
      </c>
      <c r="B22" s="19">
        <f>'8_시공전후'!C11*IF(('1_입력값'!$D$16/100)=0,A22,((1+('1_입력값'!$D$16/100))^A22-1)/('1_입력값'!$D$16/100))</f>
      </c>
      <c r="C22" s="19">
        <f>'7_공사비'!C14+'8_시공전후'!D11*IF(('1_입력값'!$D$16/100)=0,A22,((1+('1_입력값'!$D$16/100))^A22-1)/('1_입력값'!$D$16/100))+'8_시공전후'!D13*A22-('11_인센티브'!B$24+'11_인센티브'!B$25*MIN(A22,'11_인센티브'!$B$12)+'11_인센티브'!B$26*MIN(A22,'11_인센티브'!$B$15))</f>
      </c>
      <c r="D22" s="19">
        <f>'7_공사비'!D14+'8_시공전후'!E11*IF(('1_입력값'!$D$16/100)=0,A22,((1+('1_입력값'!$D$16/100))^A22-1)/('1_입력값'!$D$16/100))+'8_시공전후'!E13*A22-('11_인센티브'!C$24+'11_인센티브'!C$25*MIN(A22,'11_인센티브'!$B$12)+'11_인센티브'!C$26*MIN(A22,'11_인센티브'!$B$15))</f>
      </c>
      <c r="E22" s="19">
        <f>'7_공사비'!E14+'8_시공전후'!F11*IF(('1_입력값'!$D$16/100)=0,A22,((1+('1_입력값'!$D$16/100))^A22-1)/('1_입력값'!$D$16/100))+'8_시공전후'!F13*A22-('11_인센티브'!D$24+'11_인센티브'!D$25*MIN(A22,'11_인센티브'!$B$12)+'11_인센티브'!D$26*MIN(A22,'11_인센티브'!$B$15))</f>
      </c>
      <c r="F22" s="11">
        <f>IF(C22&lt;=B22,A22,"")</f>
      </c>
      <c r="G22" s="11">
        <f>IF(D22&lt;=B22,A22,"")</f>
      </c>
      <c r="H22" s="11">
        <f>IF(E22&lt;=B22,A22,"")</f>
      </c>
    </row>
    <row r="23" ht="19.5" customHeight="1" spans="1:8" x14ac:dyDescent="0.25">
      <c r="A23" s="11">
        <v>19</v>
      </c>
      <c r="B23" s="19">
        <f>'8_시공전후'!C11*IF(('1_입력값'!$D$16/100)=0,A23,((1+('1_입력값'!$D$16/100))^A23-1)/('1_입력값'!$D$16/100))</f>
      </c>
      <c r="C23" s="19">
        <f>'7_공사비'!C14+'8_시공전후'!D11*IF(('1_입력값'!$D$16/100)=0,A23,((1+('1_입력값'!$D$16/100))^A23-1)/('1_입력값'!$D$16/100))+'8_시공전후'!D13*A23-('11_인센티브'!B$24+'11_인센티브'!B$25*MIN(A23,'11_인센티브'!$B$12)+'11_인센티브'!B$26*MIN(A23,'11_인센티브'!$B$15))</f>
      </c>
      <c r="D23" s="19">
        <f>'7_공사비'!D14+'8_시공전후'!E11*IF(('1_입력값'!$D$16/100)=0,A23,((1+('1_입력값'!$D$16/100))^A23-1)/('1_입력값'!$D$16/100))+'8_시공전후'!E13*A23-('11_인센티브'!C$24+'11_인센티브'!C$25*MIN(A23,'11_인센티브'!$B$12)+'11_인센티브'!C$26*MIN(A23,'11_인센티브'!$B$15))</f>
      </c>
      <c r="E23" s="19">
        <f>'7_공사비'!E14+'8_시공전후'!F11*IF(('1_입력값'!$D$16/100)=0,A23,((1+('1_입력값'!$D$16/100))^A23-1)/('1_입력값'!$D$16/100))+'8_시공전후'!F13*A23-('11_인센티브'!D$24+'11_인센티브'!D$25*MIN(A23,'11_인센티브'!$B$12)+'11_인센티브'!D$26*MIN(A23,'11_인센티브'!$B$15))</f>
      </c>
      <c r="F23" s="11">
        <f>IF(C23&lt;=B23,A23,"")</f>
      </c>
      <c r="G23" s="11">
        <f>IF(D23&lt;=B23,A23,"")</f>
      </c>
      <c r="H23" s="11">
        <f>IF(E23&lt;=B23,A23,"")</f>
      </c>
    </row>
    <row r="24" ht="19.5" customHeight="1" spans="1:8" x14ac:dyDescent="0.25">
      <c r="A24" s="11">
        <v>20</v>
      </c>
      <c r="B24" s="19">
        <f>'8_시공전후'!C11*IF(('1_입력값'!$D$16/100)=0,A24,((1+('1_입력값'!$D$16/100))^A24-1)/('1_입력값'!$D$16/100))</f>
      </c>
      <c r="C24" s="19">
        <f>'7_공사비'!C14+'8_시공전후'!D11*IF(('1_입력값'!$D$16/100)=0,A24,((1+('1_입력값'!$D$16/100))^A24-1)/('1_입력값'!$D$16/100))+'8_시공전후'!D13*A24-('11_인센티브'!B$24+'11_인센티브'!B$25*MIN(A24,'11_인센티브'!$B$12)+'11_인센티브'!B$26*MIN(A24,'11_인센티브'!$B$15))</f>
      </c>
      <c r="D24" s="19">
        <f>'7_공사비'!D14+'8_시공전후'!E11*IF(('1_입력값'!$D$16/100)=0,A24,((1+('1_입력값'!$D$16/100))^A24-1)/('1_입력값'!$D$16/100))+'8_시공전후'!E13*A24-('11_인센티브'!C$24+'11_인센티브'!C$25*MIN(A24,'11_인센티브'!$B$12)+'11_인센티브'!C$26*MIN(A24,'11_인센티브'!$B$15))</f>
      </c>
      <c r="E24" s="19">
        <f>'7_공사비'!E14+'8_시공전후'!F11*IF(('1_입력값'!$D$16/100)=0,A24,((1+('1_입력값'!$D$16/100))^A24-1)/('1_입력값'!$D$16/100))+'8_시공전후'!F13*A24-('11_인센티브'!D$24+'11_인센티브'!D$25*MIN(A24,'11_인센티브'!$B$12)+'11_인센티브'!D$26*MIN(A24,'11_인센티브'!$B$15))</f>
      </c>
      <c r="F24" s="11">
        <f>IF(C24&lt;=B24,A24,"")</f>
      </c>
      <c r="G24" s="11">
        <f>IF(D24&lt;=B24,A24,"")</f>
      </c>
      <c r="H24" s="11">
        <f>IF(E24&lt;=B24,A24,"")</f>
      </c>
    </row>
    <row r="25" ht="19.5" customHeight="1" spans="1:8" x14ac:dyDescent="0.25">
      <c r="A25" s="11">
        <v>21</v>
      </c>
      <c r="B25" s="19">
        <f>'8_시공전후'!C11*IF(('1_입력값'!$D$16/100)=0,A25,((1+('1_입력값'!$D$16/100))^A25-1)/('1_입력값'!$D$16/100))</f>
      </c>
      <c r="C25" s="19">
        <f>'7_공사비'!C14+'8_시공전후'!D11*IF(('1_입력값'!$D$16/100)=0,A25,((1+('1_입력값'!$D$16/100))^A25-1)/('1_입력값'!$D$16/100))+'8_시공전후'!D13*A25-('11_인센티브'!B$24+'11_인센티브'!B$25*MIN(A25,'11_인센티브'!$B$12)+'11_인센티브'!B$26*MIN(A25,'11_인센티브'!$B$15))</f>
      </c>
      <c r="D25" s="19">
        <f>'7_공사비'!D14+'8_시공전후'!E11*IF(('1_입력값'!$D$16/100)=0,A25,((1+('1_입력값'!$D$16/100))^A25-1)/('1_입력값'!$D$16/100))+'8_시공전후'!E13*A25-('11_인센티브'!C$24+'11_인센티브'!C$25*MIN(A25,'11_인센티브'!$B$12)+'11_인센티브'!C$26*MIN(A25,'11_인센티브'!$B$15))</f>
      </c>
      <c r="E25" s="19">
        <f>'7_공사비'!E14+'8_시공전후'!F11*IF(('1_입력값'!$D$16/100)=0,A25,((1+('1_입력값'!$D$16/100))^A25-1)/('1_입력값'!$D$16/100))+'8_시공전후'!F13*A25-('11_인센티브'!D$24+'11_인센티브'!D$25*MIN(A25,'11_인센티브'!$B$12)+'11_인센티브'!D$26*MIN(A25,'11_인센티브'!$B$15))</f>
      </c>
      <c r="F25" s="11">
        <f>IF(C25&lt;=B25,A25,"")</f>
      </c>
      <c r="G25" s="11">
        <f>IF(D25&lt;=B25,A25,"")</f>
      </c>
      <c r="H25" s="11">
        <f>IF(E25&lt;=B25,A25,"")</f>
      </c>
    </row>
    <row r="26" ht="19.5" customHeight="1" spans="1:8" x14ac:dyDescent="0.25">
      <c r="A26" s="11">
        <v>22</v>
      </c>
      <c r="B26" s="19">
        <f>'8_시공전후'!C11*IF(('1_입력값'!$D$16/100)=0,A26,((1+('1_입력값'!$D$16/100))^A26-1)/('1_입력값'!$D$16/100))</f>
      </c>
      <c r="C26" s="19">
        <f>'7_공사비'!C14+'8_시공전후'!D11*IF(('1_입력값'!$D$16/100)=0,A26,((1+('1_입력값'!$D$16/100))^A26-1)/('1_입력값'!$D$16/100))+'8_시공전후'!D13*A26-('11_인센티브'!B$24+'11_인센티브'!B$25*MIN(A26,'11_인센티브'!$B$12)+'11_인센티브'!B$26*MIN(A26,'11_인센티브'!$B$15))</f>
      </c>
      <c r="D26" s="19">
        <f>'7_공사비'!D14+'8_시공전후'!E11*IF(('1_입력값'!$D$16/100)=0,A26,((1+('1_입력값'!$D$16/100))^A26-1)/('1_입력값'!$D$16/100))+'8_시공전후'!E13*A26-('11_인센티브'!C$24+'11_인센티브'!C$25*MIN(A26,'11_인센티브'!$B$12)+'11_인센티브'!C$26*MIN(A26,'11_인센티브'!$B$15))</f>
      </c>
      <c r="E26" s="19">
        <f>'7_공사비'!E14+'8_시공전후'!F11*IF(('1_입력값'!$D$16/100)=0,A26,((1+('1_입력값'!$D$16/100))^A26-1)/('1_입력값'!$D$16/100))+'8_시공전후'!F13*A26-('11_인센티브'!D$24+'11_인센티브'!D$25*MIN(A26,'11_인센티브'!$B$12)+'11_인센티브'!D$26*MIN(A26,'11_인센티브'!$B$15))</f>
      </c>
      <c r="F26" s="11">
        <f>IF(C26&lt;=B26,A26,"")</f>
      </c>
      <c r="G26" s="11">
        <f>IF(D26&lt;=B26,A26,"")</f>
      </c>
      <c r="H26" s="11">
        <f>IF(E26&lt;=B26,A26,"")</f>
      </c>
    </row>
    <row r="27" ht="19.5" customHeight="1" spans="1:8" x14ac:dyDescent="0.25">
      <c r="A27" s="11">
        <v>23</v>
      </c>
      <c r="B27" s="19">
        <f>'8_시공전후'!C11*IF(('1_입력값'!$D$16/100)=0,A27,((1+('1_입력값'!$D$16/100))^A27-1)/('1_입력값'!$D$16/100))</f>
      </c>
      <c r="C27" s="19">
        <f>'7_공사비'!C14+'8_시공전후'!D11*IF(('1_입력값'!$D$16/100)=0,A27,((1+('1_입력값'!$D$16/100))^A27-1)/('1_입력값'!$D$16/100))+'8_시공전후'!D13*A27-('11_인센티브'!B$24+'11_인센티브'!B$25*MIN(A27,'11_인센티브'!$B$12)+'11_인센티브'!B$26*MIN(A27,'11_인센티브'!$B$15))</f>
      </c>
      <c r="D27" s="19">
        <f>'7_공사비'!D14+'8_시공전후'!E11*IF(('1_입력값'!$D$16/100)=0,A27,((1+('1_입력값'!$D$16/100))^A27-1)/('1_입력값'!$D$16/100))+'8_시공전후'!E13*A27-('11_인센티브'!C$24+'11_인센티브'!C$25*MIN(A27,'11_인센티브'!$B$12)+'11_인센티브'!C$26*MIN(A27,'11_인센티브'!$B$15))</f>
      </c>
      <c r="E27" s="19">
        <f>'7_공사비'!E14+'8_시공전후'!F11*IF(('1_입력값'!$D$16/100)=0,A27,((1+('1_입력값'!$D$16/100))^A27-1)/('1_입력값'!$D$16/100))+'8_시공전후'!F13*A27-('11_인센티브'!D$24+'11_인센티브'!D$25*MIN(A27,'11_인센티브'!$B$12)+'11_인센티브'!D$26*MIN(A27,'11_인센티브'!$B$15))</f>
      </c>
      <c r="F27" s="11">
        <f>IF(C27&lt;=B27,A27,"")</f>
      </c>
      <c r="G27" s="11">
        <f>IF(D27&lt;=B27,A27,"")</f>
      </c>
      <c r="H27" s="11">
        <f>IF(E27&lt;=B27,A27,"")</f>
      </c>
    </row>
    <row r="28" ht="19.5" customHeight="1" spans="1:8" x14ac:dyDescent="0.25">
      <c r="A28" s="11">
        <v>24</v>
      </c>
      <c r="B28" s="19">
        <f>'8_시공전후'!C11*IF(('1_입력값'!$D$16/100)=0,A28,((1+('1_입력값'!$D$16/100))^A28-1)/('1_입력값'!$D$16/100))</f>
      </c>
      <c r="C28" s="19">
        <f>'7_공사비'!C14+'8_시공전후'!D11*IF(('1_입력값'!$D$16/100)=0,A28,((1+('1_입력값'!$D$16/100))^A28-1)/('1_입력값'!$D$16/100))+'8_시공전후'!D13*A28-('11_인센티브'!B$24+'11_인센티브'!B$25*MIN(A28,'11_인센티브'!$B$12)+'11_인센티브'!B$26*MIN(A28,'11_인센티브'!$B$15))</f>
      </c>
      <c r="D28" s="19">
        <f>'7_공사비'!D14+'8_시공전후'!E11*IF(('1_입력값'!$D$16/100)=0,A28,((1+('1_입력값'!$D$16/100))^A28-1)/('1_입력값'!$D$16/100))+'8_시공전후'!E13*A28-('11_인센티브'!C$24+'11_인센티브'!C$25*MIN(A28,'11_인센티브'!$B$12)+'11_인센티브'!C$26*MIN(A28,'11_인센티브'!$B$15))</f>
      </c>
      <c r="E28" s="19">
        <f>'7_공사비'!E14+'8_시공전후'!F11*IF(('1_입력값'!$D$16/100)=0,A28,((1+('1_입력값'!$D$16/100))^A28-1)/('1_입력값'!$D$16/100))+'8_시공전후'!F13*A28-('11_인센티브'!D$24+'11_인센티브'!D$25*MIN(A28,'11_인센티브'!$B$12)+'11_인센티브'!D$26*MIN(A28,'11_인센티브'!$B$15))</f>
      </c>
      <c r="F28" s="11">
        <f>IF(C28&lt;=B28,A28,"")</f>
      </c>
      <c r="G28" s="11">
        <f>IF(D28&lt;=B28,A28,"")</f>
      </c>
      <c r="H28" s="11">
        <f>IF(E28&lt;=B28,A28,"")</f>
      </c>
    </row>
    <row r="29" ht="19.5" customHeight="1" spans="1:8" x14ac:dyDescent="0.25">
      <c r="A29" s="11">
        <v>25</v>
      </c>
      <c r="B29" s="19">
        <f>'8_시공전후'!C11*IF(('1_입력값'!$D$16/100)=0,A29,((1+('1_입력값'!$D$16/100))^A29-1)/('1_입력값'!$D$16/100))</f>
      </c>
      <c r="C29" s="19">
        <f>'7_공사비'!C14+'8_시공전후'!D11*IF(('1_입력값'!$D$16/100)=0,A29,((1+('1_입력값'!$D$16/100))^A29-1)/('1_입력값'!$D$16/100))+'8_시공전후'!D13*A29-('11_인센티브'!B$24+'11_인센티브'!B$25*MIN(A29,'11_인센티브'!$B$12)+'11_인센티브'!B$26*MIN(A29,'11_인센티브'!$B$15))</f>
      </c>
      <c r="D29" s="19">
        <f>'7_공사비'!D14+'8_시공전후'!E11*IF(('1_입력값'!$D$16/100)=0,A29,((1+('1_입력값'!$D$16/100))^A29-1)/('1_입력값'!$D$16/100))+'8_시공전후'!E13*A29-('11_인센티브'!C$24+'11_인센티브'!C$25*MIN(A29,'11_인센티브'!$B$12)+'11_인센티브'!C$26*MIN(A29,'11_인센티브'!$B$15))</f>
      </c>
      <c r="E29" s="19">
        <f>'7_공사비'!E14+'8_시공전후'!F11*IF(('1_입력값'!$D$16/100)=0,A29,((1+('1_입력값'!$D$16/100))^A29-1)/('1_입력값'!$D$16/100))+'8_시공전후'!F13*A29-('11_인센티브'!D$24+'11_인센티브'!D$25*MIN(A29,'11_인센티브'!$B$12)+'11_인센티브'!D$26*MIN(A29,'11_인센티브'!$B$15))</f>
      </c>
      <c r="F29" s="11">
        <f>IF(C29&lt;=B29,A29,"")</f>
      </c>
      <c r="G29" s="11">
        <f>IF(D29&lt;=B29,A29,"")</f>
      </c>
      <c r="H29" s="11">
        <f>IF(E29&lt;=B29,A29,"")</f>
      </c>
    </row>
    <row r="30" ht="19.5" customHeight="1" spans="1:8" x14ac:dyDescent="0.25">
      <c r="A30" s="11">
        <v>26</v>
      </c>
      <c r="B30" s="19">
        <f>'8_시공전후'!C11*IF(('1_입력값'!$D$16/100)=0,A30,((1+('1_입력값'!$D$16/100))^A30-1)/('1_입력값'!$D$16/100))</f>
      </c>
      <c r="C30" s="19">
        <f>'7_공사비'!C14+'8_시공전후'!D11*IF(('1_입력값'!$D$16/100)=0,A30,((1+('1_입력값'!$D$16/100))^A30-1)/('1_입력값'!$D$16/100))+'8_시공전후'!D13*A30-('11_인센티브'!B$24+'11_인센티브'!B$25*MIN(A30,'11_인센티브'!$B$12)+'11_인센티브'!B$26*MIN(A30,'11_인센티브'!$B$15))</f>
      </c>
      <c r="D30" s="19">
        <f>'7_공사비'!D14+'8_시공전후'!E11*IF(('1_입력값'!$D$16/100)=0,A30,((1+('1_입력값'!$D$16/100))^A30-1)/('1_입력값'!$D$16/100))+'8_시공전후'!E13*A30-('11_인센티브'!C$24+'11_인센티브'!C$25*MIN(A30,'11_인센티브'!$B$12)+'11_인센티브'!C$26*MIN(A30,'11_인센티브'!$B$15))</f>
      </c>
      <c r="E30" s="19">
        <f>'7_공사비'!E14+'8_시공전후'!F11*IF(('1_입력값'!$D$16/100)=0,A30,((1+('1_입력값'!$D$16/100))^A30-1)/('1_입력값'!$D$16/100))+'8_시공전후'!F13*A30-('11_인센티브'!D$24+'11_인센티브'!D$25*MIN(A30,'11_인센티브'!$B$12)+'11_인센티브'!D$26*MIN(A30,'11_인센티브'!$B$15))</f>
      </c>
      <c r="F30" s="11">
        <f>IF(C30&lt;=B30,A30,"")</f>
      </c>
      <c r="G30" s="11">
        <f>IF(D30&lt;=B30,A30,"")</f>
      </c>
      <c r="H30" s="11">
        <f>IF(E30&lt;=B30,A30,"")</f>
      </c>
    </row>
    <row r="31" ht="19.5" customHeight="1" spans="1:8" x14ac:dyDescent="0.25">
      <c r="A31" s="11">
        <v>27</v>
      </c>
      <c r="B31" s="19">
        <f>'8_시공전후'!C11*IF(('1_입력값'!$D$16/100)=0,A31,((1+('1_입력값'!$D$16/100))^A31-1)/('1_입력값'!$D$16/100))</f>
      </c>
      <c r="C31" s="19">
        <f>'7_공사비'!C14+'8_시공전후'!D11*IF(('1_입력값'!$D$16/100)=0,A31,((1+('1_입력값'!$D$16/100))^A31-1)/('1_입력값'!$D$16/100))+'8_시공전후'!D13*A31-('11_인센티브'!B$24+'11_인센티브'!B$25*MIN(A31,'11_인센티브'!$B$12)+'11_인센티브'!B$26*MIN(A31,'11_인센티브'!$B$15))</f>
      </c>
      <c r="D31" s="19">
        <f>'7_공사비'!D14+'8_시공전후'!E11*IF(('1_입력값'!$D$16/100)=0,A31,((1+('1_입력값'!$D$16/100))^A31-1)/('1_입력값'!$D$16/100))+'8_시공전후'!E13*A31-('11_인센티브'!C$24+'11_인센티브'!C$25*MIN(A31,'11_인센티브'!$B$12)+'11_인센티브'!C$26*MIN(A31,'11_인센티브'!$B$15))</f>
      </c>
      <c r="E31" s="19">
        <f>'7_공사비'!E14+'8_시공전후'!F11*IF(('1_입력값'!$D$16/100)=0,A31,((1+('1_입력값'!$D$16/100))^A31-1)/('1_입력값'!$D$16/100))+'8_시공전후'!F13*A31-('11_인센티브'!D$24+'11_인센티브'!D$25*MIN(A31,'11_인센티브'!$B$12)+'11_인센티브'!D$26*MIN(A31,'11_인센티브'!$B$15))</f>
      </c>
      <c r="F31" s="11">
        <f>IF(C31&lt;=B31,A31,"")</f>
      </c>
      <c r="G31" s="11">
        <f>IF(D31&lt;=B31,A31,"")</f>
      </c>
      <c r="H31" s="11">
        <f>IF(E31&lt;=B31,A31,"")</f>
      </c>
    </row>
    <row r="32" ht="19.5" customHeight="1" spans="1:8" x14ac:dyDescent="0.25">
      <c r="A32" s="11">
        <v>28</v>
      </c>
      <c r="B32" s="19">
        <f>'8_시공전후'!C11*IF(('1_입력값'!$D$16/100)=0,A32,((1+('1_입력값'!$D$16/100))^A32-1)/('1_입력값'!$D$16/100))</f>
      </c>
      <c r="C32" s="19">
        <f>'7_공사비'!C14+'8_시공전후'!D11*IF(('1_입력값'!$D$16/100)=0,A32,((1+('1_입력값'!$D$16/100))^A32-1)/('1_입력값'!$D$16/100))+'8_시공전후'!D13*A32-('11_인센티브'!B$24+'11_인센티브'!B$25*MIN(A32,'11_인센티브'!$B$12)+'11_인센티브'!B$26*MIN(A32,'11_인센티브'!$B$15))</f>
      </c>
      <c r="D32" s="19">
        <f>'7_공사비'!D14+'8_시공전후'!E11*IF(('1_입력값'!$D$16/100)=0,A32,((1+('1_입력값'!$D$16/100))^A32-1)/('1_입력값'!$D$16/100))+'8_시공전후'!E13*A32-('11_인센티브'!C$24+'11_인센티브'!C$25*MIN(A32,'11_인센티브'!$B$12)+'11_인센티브'!C$26*MIN(A32,'11_인센티브'!$B$15))</f>
      </c>
      <c r="E32" s="19">
        <f>'7_공사비'!E14+'8_시공전후'!F11*IF(('1_입력값'!$D$16/100)=0,A32,((1+('1_입력값'!$D$16/100))^A32-1)/('1_입력값'!$D$16/100))+'8_시공전후'!F13*A32-('11_인센티브'!D$24+'11_인센티브'!D$25*MIN(A32,'11_인센티브'!$B$12)+'11_인센티브'!D$26*MIN(A32,'11_인센티브'!$B$15))</f>
      </c>
      <c r="F32" s="11">
        <f>IF(C32&lt;=B32,A32,"")</f>
      </c>
      <c r="G32" s="11">
        <f>IF(D32&lt;=B32,A32,"")</f>
      </c>
      <c r="H32" s="11">
        <f>IF(E32&lt;=B32,A32,"")</f>
      </c>
    </row>
    <row r="33" ht="19.5" customHeight="1" spans="1:8" x14ac:dyDescent="0.25">
      <c r="A33" s="11">
        <v>29</v>
      </c>
      <c r="B33" s="19">
        <f>'8_시공전후'!C11*IF(('1_입력값'!$D$16/100)=0,A33,((1+('1_입력값'!$D$16/100))^A33-1)/('1_입력값'!$D$16/100))</f>
      </c>
      <c r="C33" s="19">
        <f>'7_공사비'!C14+'8_시공전후'!D11*IF(('1_입력값'!$D$16/100)=0,A33,((1+('1_입력값'!$D$16/100))^A33-1)/('1_입력값'!$D$16/100))+'8_시공전후'!D13*A33-('11_인센티브'!B$24+'11_인센티브'!B$25*MIN(A33,'11_인센티브'!$B$12)+'11_인센티브'!B$26*MIN(A33,'11_인센티브'!$B$15))</f>
      </c>
      <c r="D33" s="19">
        <f>'7_공사비'!D14+'8_시공전후'!E11*IF(('1_입력값'!$D$16/100)=0,A33,((1+('1_입력값'!$D$16/100))^A33-1)/('1_입력값'!$D$16/100))+'8_시공전후'!E13*A33-('11_인센티브'!C$24+'11_인센티브'!C$25*MIN(A33,'11_인센티브'!$B$12)+'11_인센티브'!C$26*MIN(A33,'11_인센티브'!$B$15))</f>
      </c>
      <c r="E33" s="19">
        <f>'7_공사비'!E14+'8_시공전후'!F11*IF(('1_입력값'!$D$16/100)=0,A33,((1+('1_입력값'!$D$16/100))^A33-1)/('1_입력값'!$D$16/100))+'8_시공전후'!F13*A33-('11_인센티브'!D$24+'11_인센티브'!D$25*MIN(A33,'11_인센티브'!$B$12)+'11_인센티브'!D$26*MIN(A33,'11_인센티브'!$B$15))</f>
      </c>
      <c r="F33" s="11">
        <f>IF(C33&lt;=B33,A33,"")</f>
      </c>
      <c r="G33" s="11">
        <f>IF(D33&lt;=B33,A33,"")</f>
      </c>
      <c r="H33" s="11">
        <f>IF(E33&lt;=B33,A33,"")</f>
      </c>
    </row>
    <row r="34" ht="19.5" customHeight="1" spans="1:8" x14ac:dyDescent="0.25">
      <c r="A34" s="11">
        <v>30</v>
      </c>
      <c r="B34" s="19">
        <f>'8_시공전후'!C11*IF(('1_입력값'!$D$16/100)=0,A34,((1+('1_입력값'!$D$16/100))^A34-1)/('1_입력값'!$D$16/100))</f>
      </c>
      <c r="C34" s="19">
        <f>'7_공사비'!C14+'8_시공전후'!D11*IF(('1_입력값'!$D$16/100)=0,A34,((1+('1_입력값'!$D$16/100))^A34-1)/('1_입력값'!$D$16/100))+'8_시공전후'!D13*A34-('11_인센티브'!B$24+'11_인센티브'!B$25*MIN(A34,'11_인센티브'!$B$12)+'11_인센티브'!B$26*MIN(A34,'11_인센티브'!$B$15))</f>
      </c>
      <c r="D34" s="19">
        <f>'7_공사비'!D14+'8_시공전후'!E11*IF(('1_입력값'!$D$16/100)=0,A34,((1+('1_입력값'!$D$16/100))^A34-1)/('1_입력값'!$D$16/100))+'8_시공전후'!E13*A34-('11_인센티브'!C$24+'11_인센티브'!C$25*MIN(A34,'11_인센티브'!$B$12)+'11_인센티브'!C$26*MIN(A34,'11_인센티브'!$B$15))</f>
      </c>
      <c r="E34" s="19">
        <f>'7_공사비'!E14+'8_시공전후'!F11*IF(('1_입력값'!$D$16/100)=0,A34,((1+('1_입력값'!$D$16/100))^A34-1)/('1_입력값'!$D$16/100))+'8_시공전후'!F13*A34-('11_인센티브'!D$24+'11_인센티브'!D$25*MIN(A34,'11_인센티브'!$B$12)+'11_인센티브'!D$26*MIN(A34,'11_인센티브'!$B$15))</f>
      </c>
      <c r="F34" s="11">
        <f>IF(C34&lt;=B34,A34,"")</f>
      </c>
      <c r="G34" s="11">
        <f>IF(D34&lt;=B34,A34,"")</f>
      </c>
      <c r="H34" s="11">
        <f>IF(E34&lt;=B34,A34,"")</f>
      </c>
    </row>
    <row r="35" ht="19.5" customHeight="1" spans="1:8" x14ac:dyDescent="0.25">
      <c r="A35" s="11">
        <v>31</v>
      </c>
      <c r="B35" s="19">
        <f>'8_시공전후'!C11*IF(('1_입력값'!$D$16/100)=0,A35,((1+('1_입력값'!$D$16/100))^A35-1)/('1_입력값'!$D$16/100))</f>
      </c>
      <c r="C35" s="19">
        <f>'7_공사비'!C14+'8_시공전후'!D11*IF(('1_입력값'!$D$16/100)=0,A35,((1+('1_입력값'!$D$16/100))^A35-1)/('1_입력값'!$D$16/100))+'8_시공전후'!D13*A35-('11_인센티브'!B$24+'11_인센티브'!B$25*MIN(A35,'11_인센티브'!$B$12)+'11_인센티브'!B$26*MIN(A35,'11_인센티브'!$B$15))</f>
      </c>
      <c r="D35" s="19">
        <f>'7_공사비'!D14+'8_시공전후'!E11*IF(('1_입력값'!$D$16/100)=0,A35,((1+('1_입력값'!$D$16/100))^A35-1)/('1_입력값'!$D$16/100))+'8_시공전후'!E13*A35-('11_인센티브'!C$24+'11_인센티브'!C$25*MIN(A35,'11_인센티브'!$B$12)+'11_인센티브'!C$26*MIN(A35,'11_인센티브'!$B$15))</f>
      </c>
      <c r="E35" s="19">
        <f>'7_공사비'!E14+'8_시공전후'!F11*IF(('1_입력값'!$D$16/100)=0,A35,((1+('1_입력값'!$D$16/100))^A35-1)/('1_입력값'!$D$16/100))+'8_시공전후'!F13*A35-('11_인센티브'!D$24+'11_인센티브'!D$25*MIN(A35,'11_인센티브'!$B$12)+'11_인센티브'!D$26*MIN(A35,'11_인센티브'!$B$15))</f>
      </c>
      <c r="F35" s="11">
        <f>IF(C35&lt;=B35,A35,"")</f>
      </c>
      <c r="G35" s="11">
        <f>IF(D35&lt;=B35,A35,"")</f>
      </c>
      <c r="H35" s="11">
        <f>IF(E35&lt;=B35,A35,"")</f>
      </c>
    </row>
    <row r="36" ht="19.5" customHeight="1" spans="1:8" x14ac:dyDescent="0.25">
      <c r="A36" s="11">
        <v>32</v>
      </c>
      <c r="B36" s="19">
        <f>'8_시공전후'!C11*IF(('1_입력값'!$D$16/100)=0,A36,((1+('1_입력값'!$D$16/100))^A36-1)/('1_입력값'!$D$16/100))</f>
      </c>
      <c r="C36" s="19">
        <f>'7_공사비'!C14+'8_시공전후'!D11*IF(('1_입력값'!$D$16/100)=0,A36,((1+('1_입력값'!$D$16/100))^A36-1)/('1_입력값'!$D$16/100))+'8_시공전후'!D13*A36-('11_인센티브'!B$24+'11_인센티브'!B$25*MIN(A36,'11_인센티브'!$B$12)+'11_인센티브'!B$26*MIN(A36,'11_인센티브'!$B$15))</f>
      </c>
      <c r="D36" s="19">
        <f>'7_공사비'!D14+'8_시공전후'!E11*IF(('1_입력값'!$D$16/100)=0,A36,((1+('1_입력값'!$D$16/100))^A36-1)/('1_입력값'!$D$16/100))+'8_시공전후'!E13*A36-('11_인센티브'!C$24+'11_인센티브'!C$25*MIN(A36,'11_인센티브'!$B$12)+'11_인센티브'!C$26*MIN(A36,'11_인센티브'!$B$15))</f>
      </c>
      <c r="E36" s="19">
        <f>'7_공사비'!E14+'8_시공전후'!F11*IF(('1_입력값'!$D$16/100)=0,A36,((1+('1_입력값'!$D$16/100))^A36-1)/('1_입력값'!$D$16/100))+'8_시공전후'!F13*A36-('11_인센티브'!D$24+'11_인센티브'!D$25*MIN(A36,'11_인센티브'!$B$12)+'11_인센티브'!D$26*MIN(A36,'11_인센티브'!$B$15))</f>
      </c>
      <c r="F36" s="11">
        <f>IF(C36&lt;=B36,A36,"")</f>
      </c>
      <c r="G36" s="11">
        <f>IF(D36&lt;=B36,A36,"")</f>
      </c>
      <c r="H36" s="11">
        <f>IF(E36&lt;=B36,A36,"")</f>
      </c>
    </row>
    <row r="37" ht="19.5" customHeight="1" spans="1:8" x14ac:dyDescent="0.25">
      <c r="A37" s="11">
        <v>33</v>
      </c>
      <c r="B37" s="19">
        <f>'8_시공전후'!C11*IF(('1_입력값'!$D$16/100)=0,A37,((1+('1_입력값'!$D$16/100))^A37-1)/('1_입력값'!$D$16/100))</f>
      </c>
      <c r="C37" s="19">
        <f>'7_공사비'!C14+'8_시공전후'!D11*IF(('1_입력값'!$D$16/100)=0,A37,((1+('1_입력값'!$D$16/100))^A37-1)/('1_입력값'!$D$16/100))+'8_시공전후'!D13*A37-('11_인센티브'!B$24+'11_인센티브'!B$25*MIN(A37,'11_인센티브'!$B$12)+'11_인센티브'!B$26*MIN(A37,'11_인센티브'!$B$15))</f>
      </c>
      <c r="D37" s="19">
        <f>'7_공사비'!D14+'8_시공전후'!E11*IF(('1_입력값'!$D$16/100)=0,A37,((1+('1_입력값'!$D$16/100))^A37-1)/('1_입력값'!$D$16/100))+'8_시공전후'!E13*A37-('11_인센티브'!C$24+'11_인센티브'!C$25*MIN(A37,'11_인센티브'!$B$12)+'11_인센티브'!C$26*MIN(A37,'11_인센티브'!$B$15))</f>
      </c>
      <c r="E37" s="19">
        <f>'7_공사비'!E14+'8_시공전후'!F11*IF(('1_입력값'!$D$16/100)=0,A37,((1+('1_입력값'!$D$16/100))^A37-1)/('1_입력값'!$D$16/100))+'8_시공전후'!F13*A37-('11_인센티브'!D$24+'11_인센티브'!D$25*MIN(A37,'11_인센티브'!$B$12)+'11_인센티브'!D$26*MIN(A37,'11_인센티브'!$B$15))</f>
      </c>
      <c r="F37" s="11">
        <f>IF(C37&lt;=B37,A37,"")</f>
      </c>
      <c r="G37" s="11">
        <f>IF(D37&lt;=B37,A37,"")</f>
      </c>
      <c r="H37" s="11">
        <f>IF(E37&lt;=B37,A37,"")</f>
      </c>
    </row>
    <row r="38" ht="19.5" customHeight="1" spans="1:8" x14ac:dyDescent="0.25">
      <c r="A38" s="11">
        <v>34</v>
      </c>
      <c r="B38" s="19">
        <f>'8_시공전후'!C11*IF(('1_입력값'!$D$16/100)=0,A38,((1+('1_입력값'!$D$16/100))^A38-1)/('1_입력값'!$D$16/100))</f>
      </c>
      <c r="C38" s="19">
        <f>'7_공사비'!C14+'8_시공전후'!D11*IF(('1_입력값'!$D$16/100)=0,A38,((1+('1_입력값'!$D$16/100))^A38-1)/('1_입력값'!$D$16/100))+'8_시공전후'!D13*A38-('11_인센티브'!B$24+'11_인센티브'!B$25*MIN(A38,'11_인센티브'!$B$12)+'11_인센티브'!B$26*MIN(A38,'11_인센티브'!$B$15))</f>
      </c>
      <c r="D38" s="19">
        <f>'7_공사비'!D14+'8_시공전후'!E11*IF(('1_입력값'!$D$16/100)=0,A38,((1+('1_입력값'!$D$16/100))^A38-1)/('1_입력값'!$D$16/100))+'8_시공전후'!E13*A38-('11_인센티브'!C$24+'11_인센티브'!C$25*MIN(A38,'11_인센티브'!$B$12)+'11_인센티브'!C$26*MIN(A38,'11_인센티브'!$B$15))</f>
      </c>
      <c r="E38" s="19">
        <f>'7_공사비'!E14+'8_시공전후'!F11*IF(('1_입력값'!$D$16/100)=0,A38,((1+('1_입력값'!$D$16/100))^A38-1)/('1_입력값'!$D$16/100))+'8_시공전후'!F13*A38-('11_인센티브'!D$24+'11_인센티브'!D$25*MIN(A38,'11_인센티브'!$B$12)+'11_인센티브'!D$26*MIN(A38,'11_인센티브'!$B$15))</f>
      </c>
      <c r="F38" s="11">
        <f>IF(C38&lt;=B38,A38,"")</f>
      </c>
      <c r="G38" s="11">
        <f>IF(D38&lt;=B38,A38,"")</f>
      </c>
      <c r="H38" s="11">
        <f>IF(E38&lt;=B38,A38,"")</f>
      </c>
    </row>
    <row r="39" ht="19.5" customHeight="1" spans="1:8" x14ac:dyDescent="0.25">
      <c r="A39" s="11">
        <v>35</v>
      </c>
      <c r="B39" s="19">
        <f>'8_시공전후'!C11*IF(('1_입력값'!$D$16/100)=0,A39,((1+('1_입력값'!$D$16/100))^A39-1)/('1_입력값'!$D$16/100))</f>
      </c>
      <c r="C39" s="19">
        <f>'7_공사비'!C14+'8_시공전후'!D11*IF(('1_입력값'!$D$16/100)=0,A39,((1+('1_입력값'!$D$16/100))^A39-1)/('1_입력값'!$D$16/100))+'8_시공전후'!D13*A39-('11_인센티브'!B$24+'11_인센티브'!B$25*MIN(A39,'11_인센티브'!$B$12)+'11_인센티브'!B$26*MIN(A39,'11_인센티브'!$B$15))</f>
      </c>
      <c r="D39" s="19">
        <f>'7_공사비'!D14+'8_시공전후'!E11*IF(('1_입력값'!$D$16/100)=0,A39,((1+('1_입력값'!$D$16/100))^A39-1)/('1_입력값'!$D$16/100))+'8_시공전후'!E13*A39-('11_인센티브'!C$24+'11_인센티브'!C$25*MIN(A39,'11_인센티브'!$B$12)+'11_인센티브'!C$26*MIN(A39,'11_인센티브'!$B$15))</f>
      </c>
      <c r="E39" s="19">
        <f>'7_공사비'!E14+'8_시공전후'!F11*IF(('1_입력값'!$D$16/100)=0,A39,((1+('1_입력값'!$D$16/100))^A39-1)/('1_입력값'!$D$16/100))+'8_시공전후'!F13*A39-('11_인센티브'!D$24+'11_인센티브'!D$25*MIN(A39,'11_인센티브'!$B$12)+'11_인센티브'!D$26*MIN(A39,'11_인센티브'!$B$15))</f>
      </c>
      <c r="F39" s="11">
        <f>IF(C39&lt;=B39,A39,"")</f>
      </c>
      <c r="G39" s="11">
        <f>IF(D39&lt;=B39,A39,"")</f>
      </c>
      <c r="H39" s="11">
        <f>IF(E39&lt;=B39,A39,"")</f>
      </c>
    </row>
    <row r="40" ht="19.5" customHeight="1" spans="1:8" x14ac:dyDescent="0.25">
      <c r="A40" s="11">
        <v>36</v>
      </c>
      <c r="B40" s="19">
        <f>'8_시공전후'!C11*IF(('1_입력값'!$D$16/100)=0,A40,((1+('1_입력값'!$D$16/100))^A40-1)/('1_입력값'!$D$16/100))</f>
      </c>
      <c r="C40" s="19">
        <f>'7_공사비'!C14+'8_시공전후'!D11*IF(('1_입력값'!$D$16/100)=0,A40,((1+('1_입력값'!$D$16/100))^A40-1)/('1_입력값'!$D$16/100))+'8_시공전후'!D13*A40-('11_인센티브'!B$24+'11_인센티브'!B$25*MIN(A40,'11_인센티브'!$B$12)+'11_인센티브'!B$26*MIN(A40,'11_인센티브'!$B$15))</f>
      </c>
      <c r="D40" s="19">
        <f>'7_공사비'!D14+'8_시공전후'!E11*IF(('1_입력값'!$D$16/100)=0,A40,((1+('1_입력값'!$D$16/100))^A40-1)/('1_입력값'!$D$16/100))+'8_시공전후'!E13*A40-('11_인센티브'!C$24+'11_인센티브'!C$25*MIN(A40,'11_인센티브'!$B$12)+'11_인센티브'!C$26*MIN(A40,'11_인센티브'!$B$15))</f>
      </c>
      <c r="E40" s="19">
        <f>'7_공사비'!E14+'8_시공전후'!F11*IF(('1_입력값'!$D$16/100)=0,A40,((1+('1_입력값'!$D$16/100))^A40-1)/('1_입력값'!$D$16/100))+'8_시공전후'!F13*A40-('11_인센티브'!D$24+'11_인센티브'!D$25*MIN(A40,'11_인센티브'!$B$12)+'11_인센티브'!D$26*MIN(A40,'11_인센티브'!$B$15))</f>
      </c>
      <c r="F40" s="11">
        <f>IF(C40&lt;=B40,A40,"")</f>
      </c>
      <c r="G40" s="11">
        <f>IF(D40&lt;=B40,A40,"")</f>
      </c>
      <c r="H40" s="11">
        <f>IF(E40&lt;=B40,A40,"")</f>
      </c>
    </row>
    <row r="41" ht="19.5" customHeight="1" spans="1:8" x14ac:dyDescent="0.25">
      <c r="A41" s="11">
        <v>37</v>
      </c>
      <c r="B41" s="19">
        <f>'8_시공전후'!C11*IF(('1_입력값'!$D$16/100)=0,A41,((1+('1_입력값'!$D$16/100))^A41-1)/('1_입력값'!$D$16/100))</f>
      </c>
      <c r="C41" s="19">
        <f>'7_공사비'!C14+'8_시공전후'!D11*IF(('1_입력값'!$D$16/100)=0,A41,((1+('1_입력값'!$D$16/100))^A41-1)/('1_입력값'!$D$16/100))+'8_시공전후'!D13*A41-('11_인센티브'!B$24+'11_인센티브'!B$25*MIN(A41,'11_인센티브'!$B$12)+'11_인센티브'!B$26*MIN(A41,'11_인센티브'!$B$15))</f>
      </c>
      <c r="D41" s="19">
        <f>'7_공사비'!D14+'8_시공전후'!E11*IF(('1_입력값'!$D$16/100)=0,A41,((1+('1_입력값'!$D$16/100))^A41-1)/('1_입력값'!$D$16/100))+'8_시공전후'!E13*A41-('11_인센티브'!C$24+'11_인센티브'!C$25*MIN(A41,'11_인센티브'!$B$12)+'11_인센티브'!C$26*MIN(A41,'11_인센티브'!$B$15))</f>
      </c>
      <c r="E41" s="19">
        <f>'7_공사비'!E14+'8_시공전후'!F11*IF(('1_입력값'!$D$16/100)=0,A41,((1+('1_입력값'!$D$16/100))^A41-1)/('1_입력값'!$D$16/100))+'8_시공전후'!F13*A41-('11_인센티브'!D$24+'11_인센티브'!D$25*MIN(A41,'11_인센티브'!$B$12)+'11_인센티브'!D$26*MIN(A41,'11_인센티브'!$B$15))</f>
      </c>
      <c r="F41" s="11">
        <f>IF(C41&lt;=B41,A41,"")</f>
      </c>
      <c r="G41" s="11">
        <f>IF(D41&lt;=B41,A41,"")</f>
      </c>
      <c r="H41" s="11">
        <f>IF(E41&lt;=B41,A41,"")</f>
      </c>
    </row>
    <row r="42" ht="19.5" customHeight="1" spans="1:8" x14ac:dyDescent="0.25">
      <c r="A42" s="11">
        <v>38</v>
      </c>
      <c r="B42" s="19">
        <f>'8_시공전후'!C11*IF(('1_입력값'!$D$16/100)=0,A42,((1+('1_입력값'!$D$16/100))^A42-1)/('1_입력값'!$D$16/100))</f>
      </c>
      <c r="C42" s="19">
        <f>'7_공사비'!C14+'8_시공전후'!D11*IF(('1_입력값'!$D$16/100)=0,A42,((1+('1_입력값'!$D$16/100))^A42-1)/('1_입력값'!$D$16/100))+'8_시공전후'!D13*A42-('11_인센티브'!B$24+'11_인센티브'!B$25*MIN(A42,'11_인센티브'!$B$12)+'11_인센티브'!B$26*MIN(A42,'11_인센티브'!$B$15))</f>
      </c>
      <c r="D42" s="19">
        <f>'7_공사비'!D14+'8_시공전후'!E11*IF(('1_입력값'!$D$16/100)=0,A42,((1+('1_입력값'!$D$16/100))^A42-1)/('1_입력값'!$D$16/100))+'8_시공전후'!E13*A42-('11_인센티브'!C$24+'11_인센티브'!C$25*MIN(A42,'11_인센티브'!$B$12)+'11_인센티브'!C$26*MIN(A42,'11_인센티브'!$B$15))</f>
      </c>
      <c r="E42" s="19">
        <f>'7_공사비'!E14+'8_시공전후'!F11*IF(('1_입력값'!$D$16/100)=0,A42,((1+('1_입력값'!$D$16/100))^A42-1)/('1_입력값'!$D$16/100))+'8_시공전후'!F13*A42-('11_인센티브'!D$24+'11_인센티브'!D$25*MIN(A42,'11_인센티브'!$B$12)+'11_인센티브'!D$26*MIN(A42,'11_인센티브'!$B$15))</f>
      </c>
      <c r="F42" s="11">
        <f>IF(C42&lt;=B42,A42,"")</f>
      </c>
      <c r="G42" s="11">
        <f>IF(D42&lt;=B42,A42,"")</f>
      </c>
      <c r="H42" s="11">
        <f>IF(E42&lt;=B42,A42,"")</f>
      </c>
    </row>
    <row r="43" ht="19.5" customHeight="1" spans="1:8" x14ac:dyDescent="0.25">
      <c r="A43" s="11">
        <v>39</v>
      </c>
      <c r="B43" s="19">
        <f>'8_시공전후'!C11*IF(('1_입력값'!$D$16/100)=0,A43,((1+('1_입력값'!$D$16/100))^A43-1)/('1_입력값'!$D$16/100))</f>
      </c>
      <c r="C43" s="19">
        <f>'7_공사비'!C14+'8_시공전후'!D11*IF(('1_입력값'!$D$16/100)=0,A43,((1+('1_입력값'!$D$16/100))^A43-1)/('1_입력값'!$D$16/100))+'8_시공전후'!D13*A43-('11_인센티브'!B$24+'11_인센티브'!B$25*MIN(A43,'11_인센티브'!$B$12)+'11_인센티브'!B$26*MIN(A43,'11_인센티브'!$B$15))</f>
      </c>
      <c r="D43" s="19">
        <f>'7_공사비'!D14+'8_시공전후'!E11*IF(('1_입력값'!$D$16/100)=0,A43,((1+('1_입력값'!$D$16/100))^A43-1)/('1_입력값'!$D$16/100))+'8_시공전후'!E13*A43-('11_인센티브'!C$24+'11_인센티브'!C$25*MIN(A43,'11_인센티브'!$B$12)+'11_인센티브'!C$26*MIN(A43,'11_인센티브'!$B$15))</f>
      </c>
      <c r="E43" s="19">
        <f>'7_공사비'!E14+'8_시공전후'!F11*IF(('1_입력값'!$D$16/100)=0,A43,((1+('1_입력값'!$D$16/100))^A43-1)/('1_입력값'!$D$16/100))+'8_시공전후'!F13*A43-('11_인센티브'!D$24+'11_인센티브'!D$25*MIN(A43,'11_인센티브'!$B$12)+'11_인센티브'!D$26*MIN(A43,'11_인센티브'!$B$15))</f>
      </c>
      <c r="F43" s="11">
        <f>IF(C43&lt;=B43,A43,"")</f>
      </c>
      <c r="G43" s="11">
        <f>IF(D43&lt;=B43,A43,"")</f>
      </c>
      <c r="H43" s="11">
        <f>IF(E43&lt;=B43,A43,"")</f>
      </c>
    </row>
    <row r="44" ht="19.5" customHeight="1" spans="1:8" x14ac:dyDescent="0.25">
      <c r="A44" s="11">
        <v>40</v>
      </c>
      <c r="B44" s="19">
        <f>'8_시공전후'!C11*IF(('1_입력값'!$D$16/100)=0,A44,((1+('1_입력값'!$D$16/100))^A44-1)/('1_입력값'!$D$16/100))</f>
      </c>
      <c r="C44" s="19">
        <f>'7_공사비'!C14+'8_시공전후'!D11*IF(('1_입력값'!$D$16/100)=0,A44,((1+('1_입력값'!$D$16/100))^A44-1)/('1_입력값'!$D$16/100))+'8_시공전후'!D13*A44-('11_인센티브'!B$24+'11_인센티브'!B$25*MIN(A44,'11_인센티브'!$B$12)+'11_인센티브'!B$26*MIN(A44,'11_인센티브'!$B$15))</f>
      </c>
      <c r="D44" s="19">
        <f>'7_공사비'!D14+'8_시공전후'!E11*IF(('1_입력값'!$D$16/100)=0,A44,((1+('1_입력값'!$D$16/100))^A44-1)/('1_입력값'!$D$16/100))+'8_시공전후'!E13*A44-('11_인센티브'!C$24+'11_인센티브'!C$25*MIN(A44,'11_인센티브'!$B$12)+'11_인센티브'!C$26*MIN(A44,'11_인센티브'!$B$15))</f>
      </c>
      <c r="E44" s="19">
        <f>'7_공사비'!E14+'8_시공전후'!F11*IF(('1_입력값'!$D$16/100)=0,A44,((1+('1_입력값'!$D$16/100))^A44-1)/('1_입력값'!$D$16/100))+'8_시공전후'!F13*A44-('11_인센티브'!D$24+'11_인센티브'!D$25*MIN(A44,'11_인센티브'!$B$12)+'11_인센티브'!D$26*MIN(A44,'11_인센티브'!$B$15))</f>
      </c>
      <c r="F44" s="11">
        <f>IF(C44&lt;=B44,A44,"")</f>
      </c>
      <c r="G44" s="11">
        <f>IF(D44&lt;=B44,A44,"")</f>
      </c>
      <c r="H44" s="11">
        <f>IF(E44&lt;=B44,A44,"")</f>
      </c>
    </row>
    <row r="45" ht="19.5" customHeight="1" spans="1:8" x14ac:dyDescent="0.25">
      <c r="A45" s="11">
        <v>41</v>
      </c>
      <c r="B45" s="19">
        <f>'8_시공전후'!C11*IF(('1_입력값'!$D$16/100)=0,A45,((1+('1_입력값'!$D$16/100))^A45-1)/('1_입력값'!$D$16/100))</f>
      </c>
      <c r="C45" s="19">
        <f>'7_공사비'!C14+'8_시공전후'!D11*IF(('1_입력값'!$D$16/100)=0,A45,((1+('1_입력값'!$D$16/100))^A45-1)/('1_입력값'!$D$16/100))+'8_시공전후'!D13*A45-('11_인센티브'!B$24+'11_인센티브'!B$25*MIN(A45,'11_인센티브'!$B$12)+'11_인센티브'!B$26*MIN(A45,'11_인센티브'!$B$15))</f>
      </c>
      <c r="D45" s="19">
        <f>'7_공사비'!D14+'8_시공전후'!E11*IF(('1_입력값'!$D$16/100)=0,A45,((1+('1_입력값'!$D$16/100))^A45-1)/('1_입력값'!$D$16/100))+'8_시공전후'!E13*A45-('11_인센티브'!C$24+'11_인센티브'!C$25*MIN(A45,'11_인센티브'!$B$12)+'11_인센티브'!C$26*MIN(A45,'11_인센티브'!$B$15))</f>
      </c>
      <c r="E45" s="19">
        <f>'7_공사비'!E14+'8_시공전후'!F11*IF(('1_입력값'!$D$16/100)=0,A45,((1+('1_입력값'!$D$16/100))^A45-1)/('1_입력값'!$D$16/100))+'8_시공전후'!F13*A45-('11_인센티브'!D$24+'11_인센티브'!D$25*MIN(A45,'11_인센티브'!$B$12)+'11_인센티브'!D$26*MIN(A45,'11_인센티브'!$B$15))</f>
      </c>
      <c r="F45" s="11">
        <f>IF(C45&lt;=B45,A45,"")</f>
      </c>
      <c r="G45" s="11">
        <f>IF(D45&lt;=B45,A45,"")</f>
      </c>
      <c r="H45" s="11">
        <f>IF(E45&lt;=B45,A45,"")</f>
      </c>
    </row>
    <row r="46" ht="19.5" customHeight="1" spans="1:8" x14ac:dyDescent="0.25">
      <c r="A46" s="11">
        <v>42</v>
      </c>
      <c r="B46" s="19">
        <f>'8_시공전후'!C11*IF(('1_입력값'!$D$16/100)=0,A46,((1+('1_입력값'!$D$16/100))^A46-1)/('1_입력값'!$D$16/100))</f>
      </c>
      <c r="C46" s="19">
        <f>'7_공사비'!C14+'8_시공전후'!D11*IF(('1_입력값'!$D$16/100)=0,A46,((1+('1_입력값'!$D$16/100))^A46-1)/('1_입력값'!$D$16/100))+'8_시공전후'!D13*A46-('11_인센티브'!B$24+'11_인센티브'!B$25*MIN(A46,'11_인센티브'!$B$12)+'11_인센티브'!B$26*MIN(A46,'11_인센티브'!$B$15))</f>
      </c>
      <c r="D46" s="19">
        <f>'7_공사비'!D14+'8_시공전후'!E11*IF(('1_입력값'!$D$16/100)=0,A46,((1+('1_입력값'!$D$16/100))^A46-1)/('1_입력값'!$D$16/100))+'8_시공전후'!E13*A46-('11_인센티브'!C$24+'11_인센티브'!C$25*MIN(A46,'11_인센티브'!$B$12)+'11_인센티브'!C$26*MIN(A46,'11_인센티브'!$B$15))</f>
      </c>
      <c r="E46" s="19">
        <f>'7_공사비'!E14+'8_시공전후'!F11*IF(('1_입력값'!$D$16/100)=0,A46,((1+('1_입력값'!$D$16/100))^A46-1)/('1_입력값'!$D$16/100))+'8_시공전후'!F13*A46-('11_인센티브'!D$24+'11_인센티브'!D$25*MIN(A46,'11_인센티브'!$B$12)+'11_인센티브'!D$26*MIN(A46,'11_인센티브'!$B$15))</f>
      </c>
      <c r="F46" s="11">
        <f>IF(C46&lt;=B46,A46,"")</f>
      </c>
      <c r="G46" s="11">
        <f>IF(D46&lt;=B46,A46,"")</f>
      </c>
      <c r="H46" s="11">
        <f>IF(E46&lt;=B46,A46,"")</f>
      </c>
    </row>
    <row r="47" ht="19.5" customHeight="1" spans="1:8" x14ac:dyDescent="0.25">
      <c r="A47" s="11">
        <v>43</v>
      </c>
      <c r="B47" s="19">
        <f>'8_시공전후'!C11*IF(('1_입력값'!$D$16/100)=0,A47,((1+('1_입력값'!$D$16/100))^A47-1)/('1_입력값'!$D$16/100))</f>
      </c>
      <c r="C47" s="19">
        <f>'7_공사비'!C14+'8_시공전후'!D11*IF(('1_입력값'!$D$16/100)=0,A47,((1+('1_입력값'!$D$16/100))^A47-1)/('1_입력값'!$D$16/100))+'8_시공전후'!D13*A47-('11_인센티브'!B$24+'11_인센티브'!B$25*MIN(A47,'11_인센티브'!$B$12)+'11_인센티브'!B$26*MIN(A47,'11_인센티브'!$B$15))</f>
      </c>
      <c r="D47" s="19">
        <f>'7_공사비'!D14+'8_시공전후'!E11*IF(('1_입력값'!$D$16/100)=0,A47,((1+('1_입력값'!$D$16/100))^A47-1)/('1_입력값'!$D$16/100))+'8_시공전후'!E13*A47-('11_인센티브'!C$24+'11_인센티브'!C$25*MIN(A47,'11_인센티브'!$B$12)+'11_인센티브'!C$26*MIN(A47,'11_인센티브'!$B$15))</f>
      </c>
      <c r="E47" s="19">
        <f>'7_공사비'!E14+'8_시공전후'!F11*IF(('1_입력값'!$D$16/100)=0,A47,((1+('1_입력값'!$D$16/100))^A47-1)/('1_입력값'!$D$16/100))+'8_시공전후'!F13*A47-('11_인센티브'!D$24+'11_인센티브'!D$25*MIN(A47,'11_인센티브'!$B$12)+'11_인센티브'!D$26*MIN(A47,'11_인센티브'!$B$15))</f>
      </c>
      <c r="F47" s="11">
        <f>IF(C47&lt;=B47,A47,"")</f>
      </c>
      <c r="G47" s="11">
        <f>IF(D47&lt;=B47,A47,"")</f>
      </c>
      <c r="H47" s="11">
        <f>IF(E47&lt;=B47,A47,"")</f>
      </c>
    </row>
    <row r="48" ht="19.5" customHeight="1" spans="1:8" x14ac:dyDescent="0.25">
      <c r="A48" s="11">
        <v>44</v>
      </c>
      <c r="B48" s="19">
        <f>'8_시공전후'!C11*IF(('1_입력값'!$D$16/100)=0,A48,((1+('1_입력값'!$D$16/100))^A48-1)/('1_입력값'!$D$16/100))</f>
      </c>
      <c r="C48" s="19">
        <f>'7_공사비'!C14+'8_시공전후'!D11*IF(('1_입력값'!$D$16/100)=0,A48,((1+('1_입력값'!$D$16/100))^A48-1)/('1_입력값'!$D$16/100))+'8_시공전후'!D13*A48-('11_인센티브'!B$24+'11_인센티브'!B$25*MIN(A48,'11_인센티브'!$B$12)+'11_인센티브'!B$26*MIN(A48,'11_인센티브'!$B$15))</f>
      </c>
      <c r="D48" s="19">
        <f>'7_공사비'!D14+'8_시공전후'!E11*IF(('1_입력값'!$D$16/100)=0,A48,((1+('1_입력값'!$D$16/100))^A48-1)/('1_입력값'!$D$16/100))+'8_시공전후'!E13*A48-('11_인센티브'!C$24+'11_인센티브'!C$25*MIN(A48,'11_인센티브'!$B$12)+'11_인센티브'!C$26*MIN(A48,'11_인센티브'!$B$15))</f>
      </c>
      <c r="E48" s="19">
        <f>'7_공사비'!E14+'8_시공전후'!F11*IF(('1_입력값'!$D$16/100)=0,A48,((1+('1_입력값'!$D$16/100))^A48-1)/('1_입력값'!$D$16/100))+'8_시공전후'!F13*A48-('11_인센티브'!D$24+'11_인센티브'!D$25*MIN(A48,'11_인센티브'!$B$12)+'11_인센티브'!D$26*MIN(A48,'11_인센티브'!$B$15))</f>
      </c>
      <c r="F48" s="11">
        <f>IF(C48&lt;=B48,A48,"")</f>
      </c>
      <c r="G48" s="11">
        <f>IF(D48&lt;=B48,A48,"")</f>
      </c>
      <c r="H48" s="11">
        <f>IF(E48&lt;=B48,A48,"")</f>
      </c>
    </row>
    <row r="49" ht="19.5" customHeight="1" spans="1:8" x14ac:dyDescent="0.25">
      <c r="A49" s="11">
        <v>45</v>
      </c>
      <c r="B49" s="19">
        <f>'8_시공전후'!C11*IF(('1_입력값'!$D$16/100)=0,A49,((1+('1_입력값'!$D$16/100))^A49-1)/('1_입력값'!$D$16/100))</f>
      </c>
      <c r="C49" s="19">
        <f>'7_공사비'!C14+'8_시공전후'!D11*IF(('1_입력값'!$D$16/100)=0,A49,((1+('1_입력값'!$D$16/100))^A49-1)/('1_입력값'!$D$16/100))+'8_시공전후'!D13*A49-('11_인센티브'!B$24+'11_인센티브'!B$25*MIN(A49,'11_인센티브'!$B$12)+'11_인센티브'!B$26*MIN(A49,'11_인센티브'!$B$15))</f>
      </c>
      <c r="D49" s="19">
        <f>'7_공사비'!D14+'8_시공전후'!E11*IF(('1_입력값'!$D$16/100)=0,A49,((1+('1_입력값'!$D$16/100))^A49-1)/('1_입력값'!$D$16/100))+'8_시공전후'!E13*A49-('11_인센티브'!C$24+'11_인센티브'!C$25*MIN(A49,'11_인센티브'!$B$12)+'11_인센티브'!C$26*MIN(A49,'11_인센티브'!$B$15))</f>
      </c>
      <c r="E49" s="19">
        <f>'7_공사비'!E14+'8_시공전후'!F11*IF(('1_입력값'!$D$16/100)=0,A49,((1+('1_입력값'!$D$16/100))^A49-1)/('1_입력값'!$D$16/100))+'8_시공전후'!F13*A49-('11_인센티브'!D$24+'11_인센티브'!D$25*MIN(A49,'11_인센티브'!$B$12)+'11_인센티브'!D$26*MIN(A49,'11_인센티브'!$B$15))</f>
      </c>
      <c r="F49" s="11">
        <f>IF(C49&lt;=B49,A49,"")</f>
      </c>
      <c r="G49" s="11">
        <f>IF(D49&lt;=B49,A49,"")</f>
      </c>
      <c r="H49" s="11">
        <f>IF(E49&lt;=B49,A49,"")</f>
      </c>
    </row>
    <row r="50" ht="19.5" customHeight="1" spans="1:8" x14ac:dyDescent="0.25">
      <c r="A50" s="11">
        <v>46</v>
      </c>
      <c r="B50" s="19">
        <f>'8_시공전후'!C11*IF(('1_입력값'!$D$16/100)=0,A50,((1+('1_입력값'!$D$16/100))^A50-1)/('1_입력값'!$D$16/100))</f>
      </c>
      <c r="C50" s="19">
        <f>'7_공사비'!C14+'8_시공전후'!D11*IF(('1_입력값'!$D$16/100)=0,A50,((1+('1_입력값'!$D$16/100))^A50-1)/('1_입력값'!$D$16/100))+'8_시공전후'!D13*A50-('11_인센티브'!B$24+'11_인센티브'!B$25*MIN(A50,'11_인센티브'!$B$12)+'11_인센티브'!B$26*MIN(A50,'11_인센티브'!$B$15))</f>
      </c>
      <c r="D50" s="19">
        <f>'7_공사비'!D14+'8_시공전후'!E11*IF(('1_입력값'!$D$16/100)=0,A50,((1+('1_입력값'!$D$16/100))^A50-1)/('1_입력값'!$D$16/100))+'8_시공전후'!E13*A50-('11_인센티브'!C$24+'11_인센티브'!C$25*MIN(A50,'11_인센티브'!$B$12)+'11_인센티브'!C$26*MIN(A50,'11_인센티브'!$B$15))</f>
      </c>
      <c r="E50" s="19">
        <f>'7_공사비'!E14+'8_시공전후'!F11*IF(('1_입력값'!$D$16/100)=0,A50,((1+('1_입력값'!$D$16/100))^A50-1)/('1_입력값'!$D$16/100))+'8_시공전후'!F13*A50-('11_인센티브'!D$24+'11_인센티브'!D$25*MIN(A50,'11_인센티브'!$B$12)+'11_인센티브'!D$26*MIN(A50,'11_인센티브'!$B$15))</f>
      </c>
      <c r="F50" s="11">
        <f>IF(C50&lt;=B50,A50,"")</f>
      </c>
      <c r="G50" s="11">
        <f>IF(D50&lt;=B50,A50,"")</f>
      </c>
      <c r="H50" s="11">
        <f>IF(E50&lt;=B50,A50,"")</f>
      </c>
    </row>
    <row r="51" ht="19.5" customHeight="1" spans="1:8" x14ac:dyDescent="0.25">
      <c r="A51" s="11">
        <v>47</v>
      </c>
      <c r="B51" s="19">
        <f>'8_시공전후'!C11*IF(('1_입력값'!$D$16/100)=0,A51,((1+('1_입력값'!$D$16/100))^A51-1)/('1_입력값'!$D$16/100))</f>
      </c>
      <c r="C51" s="19">
        <f>'7_공사비'!C14+'8_시공전후'!D11*IF(('1_입력값'!$D$16/100)=0,A51,((1+('1_입력값'!$D$16/100))^A51-1)/('1_입력값'!$D$16/100))+'8_시공전후'!D13*A51-('11_인센티브'!B$24+'11_인센티브'!B$25*MIN(A51,'11_인센티브'!$B$12)+'11_인센티브'!B$26*MIN(A51,'11_인센티브'!$B$15))</f>
      </c>
      <c r="D51" s="19">
        <f>'7_공사비'!D14+'8_시공전후'!E11*IF(('1_입력값'!$D$16/100)=0,A51,((1+('1_입력값'!$D$16/100))^A51-1)/('1_입력값'!$D$16/100))+'8_시공전후'!E13*A51-('11_인센티브'!C$24+'11_인센티브'!C$25*MIN(A51,'11_인센티브'!$B$12)+'11_인센티브'!C$26*MIN(A51,'11_인센티브'!$B$15))</f>
      </c>
      <c r="E51" s="19">
        <f>'7_공사비'!E14+'8_시공전후'!F11*IF(('1_입력값'!$D$16/100)=0,A51,((1+('1_입력값'!$D$16/100))^A51-1)/('1_입력값'!$D$16/100))+'8_시공전후'!F13*A51-('11_인센티브'!D$24+'11_인센티브'!D$25*MIN(A51,'11_인센티브'!$B$12)+'11_인센티브'!D$26*MIN(A51,'11_인센티브'!$B$15))</f>
      </c>
      <c r="F51" s="11">
        <f>IF(C51&lt;=B51,A51,"")</f>
      </c>
      <c r="G51" s="11">
        <f>IF(D51&lt;=B51,A51,"")</f>
      </c>
      <c r="H51" s="11">
        <f>IF(E51&lt;=B51,A51,"")</f>
      </c>
    </row>
    <row r="52" ht="19.5" customHeight="1" spans="1:8" x14ac:dyDescent="0.25">
      <c r="A52" s="11">
        <v>48</v>
      </c>
      <c r="B52" s="19">
        <f>'8_시공전후'!C11*IF(('1_입력값'!$D$16/100)=0,A52,((1+('1_입력값'!$D$16/100))^A52-1)/('1_입력값'!$D$16/100))</f>
      </c>
      <c r="C52" s="19">
        <f>'7_공사비'!C14+'8_시공전후'!D11*IF(('1_입력값'!$D$16/100)=0,A52,((1+('1_입력값'!$D$16/100))^A52-1)/('1_입력값'!$D$16/100))+'8_시공전후'!D13*A52-('11_인센티브'!B$24+'11_인센티브'!B$25*MIN(A52,'11_인센티브'!$B$12)+'11_인센티브'!B$26*MIN(A52,'11_인센티브'!$B$15))</f>
      </c>
      <c r="D52" s="19">
        <f>'7_공사비'!D14+'8_시공전후'!E11*IF(('1_입력값'!$D$16/100)=0,A52,((1+('1_입력값'!$D$16/100))^A52-1)/('1_입력값'!$D$16/100))+'8_시공전후'!E13*A52-('11_인센티브'!C$24+'11_인센티브'!C$25*MIN(A52,'11_인센티브'!$B$12)+'11_인센티브'!C$26*MIN(A52,'11_인센티브'!$B$15))</f>
      </c>
      <c r="E52" s="19">
        <f>'7_공사비'!E14+'8_시공전후'!F11*IF(('1_입력값'!$D$16/100)=0,A52,((1+('1_입력값'!$D$16/100))^A52-1)/('1_입력값'!$D$16/100))+'8_시공전후'!F13*A52-('11_인센티브'!D$24+'11_인센티브'!D$25*MIN(A52,'11_인센티브'!$B$12)+'11_인센티브'!D$26*MIN(A52,'11_인센티브'!$B$15))</f>
      </c>
      <c r="F52" s="11">
        <f>IF(C52&lt;=B52,A52,"")</f>
      </c>
      <c r="G52" s="11">
        <f>IF(D52&lt;=B52,A52,"")</f>
      </c>
      <c r="H52" s="11">
        <f>IF(E52&lt;=B52,A52,"")</f>
      </c>
    </row>
    <row r="53" ht="19.5" customHeight="1" spans="1:8" x14ac:dyDescent="0.25">
      <c r="A53" s="11">
        <v>49</v>
      </c>
      <c r="B53" s="19">
        <f>'8_시공전후'!C11*IF(('1_입력값'!$D$16/100)=0,A53,((1+('1_입력값'!$D$16/100))^A53-1)/('1_입력값'!$D$16/100))</f>
      </c>
      <c r="C53" s="19">
        <f>'7_공사비'!C14+'8_시공전후'!D11*IF(('1_입력값'!$D$16/100)=0,A53,((1+('1_입력값'!$D$16/100))^A53-1)/('1_입력값'!$D$16/100))+'8_시공전후'!D13*A53-('11_인센티브'!B$24+'11_인센티브'!B$25*MIN(A53,'11_인센티브'!$B$12)+'11_인센티브'!B$26*MIN(A53,'11_인센티브'!$B$15))</f>
      </c>
      <c r="D53" s="19">
        <f>'7_공사비'!D14+'8_시공전후'!E11*IF(('1_입력값'!$D$16/100)=0,A53,((1+('1_입력값'!$D$16/100))^A53-1)/('1_입력값'!$D$16/100))+'8_시공전후'!E13*A53-('11_인센티브'!C$24+'11_인센티브'!C$25*MIN(A53,'11_인센티브'!$B$12)+'11_인센티브'!C$26*MIN(A53,'11_인센티브'!$B$15))</f>
      </c>
      <c r="E53" s="19">
        <f>'7_공사비'!E14+'8_시공전후'!F11*IF(('1_입력값'!$D$16/100)=0,A53,((1+('1_입력값'!$D$16/100))^A53-1)/('1_입력값'!$D$16/100))+'8_시공전후'!F13*A53-('11_인센티브'!D$24+'11_인센티브'!D$25*MIN(A53,'11_인센티브'!$B$12)+'11_인센티브'!D$26*MIN(A53,'11_인센티브'!$B$15))</f>
      </c>
      <c r="F53" s="11">
        <f>IF(C53&lt;=B53,A53,"")</f>
      </c>
      <c r="G53" s="11">
        <f>IF(D53&lt;=B53,A53,"")</f>
      </c>
      <c r="H53" s="11">
        <f>IF(E53&lt;=B53,A53,"")</f>
      </c>
    </row>
    <row r="54" ht="19.5" customHeight="1" spans="1:8" x14ac:dyDescent="0.25">
      <c r="A54" s="11">
        <v>50</v>
      </c>
      <c r="B54" s="19">
        <f>'8_시공전후'!C11*IF(('1_입력값'!$D$16/100)=0,A54,((1+('1_입력값'!$D$16/100))^A54-1)/('1_입력값'!$D$16/100))</f>
      </c>
      <c r="C54" s="19">
        <f>'7_공사비'!C14+'8_시공전후'!D11*IF(('1_입력값'!$D$16/100)=0,A54,((1+('1_입력값'!$D$16/100))^A54-1)/('1_입력값'!$D$16/100))+'8_시공전후'!D13*A54-('11_인센티브'!B$24+'11_인센티브'!B$25*MIN(A54,'11_인센티브'!$B$12)+'11_인센티브'!B$26*MIN(A54,'11_인센티브'!$B$15))</f>
      </c>
      <c r="D54" s="19">
        <f>'7_공사비'!D14+'8_시공전후'!E11*IF(('1_입력값'!$D$16/100)=0,A54,((1+('1_입력값'!$D$16/100))^A54-1)/('1_입력값'!$D$16/100))+'8_시공전후'!E13*A54-('11_인센티브'!C$24+'11_인센티브'!C$25*MIN(A54,'11_인센티브'!$B$12)+'11_인센티브'!C$26*MIN(A54,'11_인센티브'!$B$15))</f>
      </c>
      <c r="E54" s="19">
        <f>'7_공사비'!E14+'8_시공전후'!F11*IF(('1_입력값'!$D$16/100)=0,A54,((1+('1_입력값'!$D$16/100))^A54-1)/('1_입력값'!$D$16/100))+'8_시공전후'!F13*A54-('11_인센티브'!D$24+'11_인센티브'!D$25*MIN(A54,'11_인센티브'!$B$12)+'11_인센티브'!D$26*MIN(A54,'11_인센티브'!$B$15))</f>
      </c>
      <c r="F54" s="11">
        <f>IF(C54&lt;=B54,A54,"")</f>
      </c>
      <c r="G54" s="11">
        <f>IF(D54&lt;=B54,A54,"")</f>
      </c>
      <c r="H54" s="11">
        <f>IF(E54&lt;=B54,A54,"")</f>
      </c>
    </row>
    <row r="55" ht="19.5" customHeight="1" spans="1:8" x14ac:dyDescent="0.25">
      <c r="A55" s="11">
        <v>51</v>
      </c>
      <c r="B55" s="19">
        <f>'8_시공전후'!C11*IF(('1_입력값'!$D$16/100)=0,A55,((1+('1_입력값'!$D$16/100))^A55-1)/('1_입력값'!$D$16/100))</f>
      </c>
      <c r="C55" s="19">
        <f>'7_공사비'!C14+'8_시공전후'!D11*IF(('1_입력값'!$D$16/100)=0,A55,((1+('1_입력값'!$D$16/100))^A55-1)/('1_입력값'!$D$16/100))+'8_시공전후'!D13*A55-('11_인센티브'!B$24+'11_인센티브'!B$25*MIN(A55,'11_인센티브'!$B$12)+'11_인센티브'!B$26*MIN(A55,'11_인센티브'!$B$15))</f>
      </c>
      <c r="D55" s="19">
        <f>'7_공사비'!D14+'8_시공전후'!E11*IF(('1_입력값'!$D$16/100)=0,A55,((1+('1_입력값'!$D$16/100))^A55-1)/('1_입력값'!$D$16/100))+'8_시공전후'!E13*A55-('11_인센티브'!C$24+'11_인센티브'!C$25*MIN(A55,'11_인센티브'!$B$12)+'11_인센티브'!C$26*MIN(A55,'11_인센티브'!$B$15))</f>
      </c>
      <c r="E55" s="19">
        <f>'7_공사비'!E14+'8_시공전후'!F11*IF(('1_입력값'!$D$16/100)=0,A55,((1+('1_입력값'!$D$16/100))^A55-1)/('1_입력값'!$D$16/100))+'8_시공전후'!F13*A55-('11_인센티브'!D$24+'11_인센티브'!D$25*MIN(A55,'11_인센티브'!$B$12)+'11_인센티브'!D$26*MIN(A55,'11_인센티브'!$B$15))</f>
      </c>
      <c r="F55" s="11">
        <f>IF(C55&lt;=B55,A55,"")</f>
      </c>
      <c r="G55" s="11">
        <f>IF(D55&lt;=B55,A55,"")</f>
      </c>
      <c r="H55" s="11">
        <f>IF(E55&lt;=B55,A55,"")</f>
      </c>
    </row>
    <row r="56" ht="19.5" customHeight="1" spans="1:8" x14ac:dyDescent="0.25">
      <c r="A56" s="11">
        <v>52</v>
      </c>
      <c r="B56" s="19">
        <f>'8_시공전후'!C11*IF(('1_입력값'!$D$16/100)=0,A56,((1+('1_입력값'!$D$16/100))^A56-1)/('1_입력값'!$D$16/100))</f>
      </c>
      <c r="C56" s="19">
        <f>'7_공사비'!C14+'8_시공전후'!D11*IF(('1_입력값'!$D$16/100)=0,A56,((1+('1_입력값'!$D$16/100))^A56-1)/('1_입력값'!$D$16/100))+'8_시공전후'!D13*A56-('11_인센티브'!B$24+'11_인센티브'!B$25*MIN(A56,'11_인센티브'!$B$12)+'11_인센티브'!B$26*MIN(A56,'11_인센티브'!$B$15))</f>
      </c>
      <c r="D56" s="19">
        <f>'7_공사비'!D14+'8_시공전후'!E11*IF(('1_입력값'!$D$16/100)=0,A56,((1+('1_입력값'!$D$16/100))^A56-1)/('1_입력값'!$D$16/100))+'8_시공전후'!E13*A56-('11_인센티브'!C$24+'11_인센티브'!C$25*MIN(A56,'11_인센티브'!$B$12)+'11_인센티브'!C$26*MIN(A56,'11_인센티브'!$B$15))</f>
      </c>
      <c r="E56" s="19">
        <f>'7_공사비'!E14+'8_시공전후'!F11*IF(('1_입력값'!$D$16/100)=0,A56,((1+('1_입력값'!$D$16/100))^A56-1)/('1_입력값'!$D$16/100))+'8_시공전후'!F13*A56-('11_인센티브'!D$24+'11_인센티브'!D$25*MIN(A56,'11_인센티브'!$B$12)+'11_인센티브'!D$26*MIN(A56,'11_인센티브'!$B$15))</f>
      </c>
      <c r="F56" s="11">
        <f>IF(C56&lt;=B56,A56,"")</f>
      </c>
      <c r="G56" s="11">
        <f>IF(D56&lt;=B56,A56,"")</f>
      </c>
      <c r="H56" s="11">
        <f>IF(E56&lt;=B56,A56,"")</f>
      </c>
    </row>
    <row r="57" ht="19.5" customHeight="1" spans="1:8" x14ac:dyDescent="0.25">
      <c r="A57" s="11">
        <v>53</v>
      </c>
      <c r="B57" s="19">
        <f>'8_시공전후'!C11*IF(('1_입력값'!$D$16/100)=0,A57,((1+('1_입력값'!$D$16/100))^A57-1)/('1_입력값'!$D$16/100))</f>
      </c>
      <c r="C57" s="19">
        <f>'7_공사비'!C14+'8_시공전후'!D11*IF(('1_입력값'!$D$16/100)=0,A57,((1+('1_입력값'!$D$16/100))^A57-1)/('1_입력값'!$D$16/100))+'8_시공전후'!D13*A57-('11_인센티브'!B$24+'11_인센티브'!B$25*MIN(A57,'11_인센티브'!$B$12)+'11_인센티브'!B$26*MIN(A57,'11_인센티브'!$B$15))</f>
      </c>
      <c r="D57" s="19">
        <f>'7_공사비'!D14+'8_시공전후'!E11*IF(('1_입력값'!$D$16/100)=0,A57,((1+('1_입력값'!$D$16/100))^A57-1)/('1_입력값'!$D$16/100))+'8_시공전후'!E13*A57-('11_인센티브'!C$24+'11_인센티브'!C$25*MIN(A57,'11_인센티브'!$B$12)+'11_인센티브'!C$26*MIN(A57,'11_인센티브'!$B$15))</f>
      </c>
      <c r="E57" s="19">
        <f>'7_공사비'!E14+'8_시공전후'!F11*IF(('1_입력값'!$D$16/100)=0,A57,((1+('1_입력값'!$D$16/100))^A57-1)/('1_입력값'!$D$16/100))+'8_시공전후'!F13*A57-('11_인센티브'!D$24+'11_인센티브'!D$25*MIN(A57,'11_인센티브'!$B$12)+'11_인센티브'!D$26*MIN(A57,'11_인센티브'!$B$15))</f>
      </c>
      <c r="F57" s="11">
        <f>IF(C57&lt;=B57,A57,"")</f>
      </c>
      <c r="G57" s="11">
        <f>IF(D57&lt;=B57,A57,"")</f>
      </c>
      <c r="H57" s="11">
        <f>IF(E57&lt;=B57,A57,"")</f>
      </c>
    </row>
    <row r="58" ht="19.5" customHeight="1" spans="1:8" x14ac:dyDescent="0.25">
      <c r="A58" s="11">
        <v>54</v>
      </c>
      <c r="B58" s="19">
        <f>'8_시공전후'!C11*IF(('1_입력값'!$D$16/100)=0,A58,((1+('1_입력값'!$D$16/100))^A58-1)/('1_입력값'!$D$16/100))</f>
      </c>
      <c r="C58" s="19">
        <f>'7_공사비'!C14+'8_시공전후'!D11*IF(('1_입력값'!$D$16/100)=0,A58,((1+('1_입력값'!$D$16/100))^A58-1)/('1_입력값'!$D$16/100))+'8_시공전후'!D13*A58-('11_인센티브'!B$24+'11_인센티브'!B$25*MIN(A58,'11_인센티브'!$B$12)+'11_인센티브'!B$26*MIN(A58,'11_인센티브'!$B$15))</f>
      </c>
      <c r="D58" s="19">
        <f>'7_공사비'!D14+'8_시공전후'!E11*IF(('1_입력값'!$D$16/100)=0,A58,((1+('1_입력값'!$D$16/100))^A58-1)/('1_입력값'!$D$16/100))+'8_시공전후'!E13*A58-('11_인센티브'!C$24+'11_인센티브'!C$25*MIN(A58,'11_인센티브'!$B$12)+'11_인센티브'!C$26*MIN(A58,'11_인센티브'!$B$15))</f>
      </c>
      <c r="E58" s="19">
        <f>'7_공사비'!E14+'8_시공전후'!F11*IF(('1_입력값'!$D$16/100)=0,A58,((1+('1_입력값'!$D$16/100))^A58-1)/('1_입력값'!$D$16/100))+'8_시공전후'!F13*A58-('11_인센티브'!D$24+'11_인센티브'!D$25*MIN(A58,'11_인센티브'!$B$12)+'11_인센티브'!D$26*MIN(A58,'11_인센티브'!$B$15))</f>
      </c>
      <c r="F58" s="11">
        <f>IF(C58&lt;=B58,A58,"")</f>
      </c>
      <c r="G58" s="11">
        <f>IF(D58&lt;=B58,A58,"")</f>
      </c>
      <c r="H58" s="11">
        <f>IF(E58&lt;=B58,A58,"")</f>
      </c>
    </row>
    <row r="59" ht="19.5" customHeight="1" spans="1:8" x14ac:dyDescent="0.25">
      <c r="A59" s="11">
        <v>55</v>
      </c>
      <c r="B59" s="19">
        <f>'8_시공전후'!C11*IF(('1_입력값'!$D$16/100)=0,A59,((1+('1_입력값'!$D$16/100))^A59-1)/('1_입력값'!$D$16/100))</f>
      </c>
      <c r="C59" s="19">
        <f>'7_공사비'!C14+'8_시공전후'!D11*IF(('1_입력값'!$D$16/100)=0,A59,((1+('1_입력값'!$D$16/100))^A59-1)/('1_입력값'!$D$16/100))+'8_시공전후'!D13*A59-('11_인센티브'!B$24+'11_인센티브'!B$25*MIN(A59,'11_인센티브'!$B$12)+'11_인센티브'!B$26*MIN(A59,'11_인센티브'!$B$15))</f>
      </c>
      <c r="D59" s="19">
        <f>'7_공사비'!D14+'8_시공전후'!E11*IF(('1_입력값'!$D$16/100)=0,A59,((1+('1_입력값'!$D$16/100))^A59-1)/('1_입력값'!$D$16/100))+'8_시공전후'!E13*A59-('11_인센티브'!C$24+'11_인센티브'!C$25*MIN(A59,'11_인센티브'!$B$12)+'11_인센티브'!C$26*MIN(A59,'11_인센티브'!$B$15))</f>
      </c>
      <c r="E59" s="19">
        <f>'7_공사비'!E14+'8_시공전후'!F11*IF(('1_입력값'!$D$16/100)=0,A59,((1+('1_입력값'!$D$16/100))^A59-1)/('1_입력값'!$D$16/100))+'8_시공전후'!F13*A59-('11_인센티브'!D$24+'11_인센티브'!D$25*MIN(A59,'11_인센티브'!$B$12)+'11_인센티브'!D$26*MIN(A59,'11_인센티브'!$B$15))</f>
      </c>
      <c r="F59" s="11">
        <f>IF(C59&lt;=B59,A59,"")</f>
      </c>
      <c r="G59" s="11">
        <f>IF(D59&lt;=B59,A59,"")</f>
      </c>
      <c r="H59" s="11">
        <f>IF(E59&lt;=B59,A59,"")</f>
      </c>
    </row>
    <row r="60" ht="19.5" customHeight="1" spans="1:8" x14ac:dyDescent="0.25">
      <c r="A60" s="11">
        <v>56</v>
      </c>
      <c r="B60" s="19">
        <f>'8_시공전후'!C11*IF(('1_입력값'!$D$16/100)=0,A60,((1+('1_입력값'!$D$16/100))^A60-1)/('1_입력값'!$D$16/100))</f>
      </c>
      <c r="C60" s="19">
        <f>'7_공사비'!C14+'8_시공전후'!D11*IF(('1_입력값'!$D$16/100)=0,A60,((1+('1_입력값'!$D$16/100))^A60-1)/('1_입력값'!$D$16/100))+'8_시공전후'!D13*A60-('11_인센티브'!B$24+'11_인센티브'!B$25*MIN(A60,'11_인센티브'!$B$12)+'11_인센티브'!B$26*MIN(A60,'11_인센티브'!$B$15))</f>
      </c>
      <c r="D60" s="19">
        <f>'7_공사비'!D14+'8_시공전후'!E11*IF(('1_입력값'!$D$16/100)=0,A60,((1+('1_입력값'!$D$16/100))^A60-1)/('1_입력값'!$D$16/100))+'8_시공전후'!E13*A60-('11_인센티브'!C$24+'11_인센티브'!C$25*MIN(A60,'11_인센티브'!$B$12)+'11_인센티브'!C$26*MIN(A60,'11_인센티브'!$B$15))</f>
      </c>
      <c r="E60" s="19">
        <f>'7_공사비'!E14+'8_시공전후'!F11*IF(('1_입력값'!$D$16/100)=0,A60,((1+('1_입력값'!$D$16/100))^A60-1)/('1_입력값'!$D$16/100))+'8_시공전후'!F13*A60-('11_인센티브'!D$24+'11_인센티브'!D$25*MIN(A60,'11_인센티브'!$B$12)+'11_인센티브'!D$26*MIN(A60,'11_인센티브'!$B$15))</f>
      </c>
      <c r="F60" s="11">
        <f>IF(C60&lt;=B60,A60,"")</f>
      </c>
      <c r="G60" s="11">
        <f>IF(D60&lt;=B60,A60,"")</f>
      </c>
      <c r="H60" s="11">
        <f>IF(E60&lt;=B60,A60,"")</f>
      </c>
    </row>
    <row r="61" ht="19.5" customHeight="1" spans="1:8" x14ac:dyDescent="0.25">
      <c r="A61" s="11">
        <v>57</v>
      </c>
      <c r="B61" s="19">
        <f>'8_시공전후'!C11*IF(('1_입력값'!$D$16/100)=0,A61,((1+('1_입력값'!$D$16/100))^A61-1)/('1_입력값'!$D$16/100))</f>
      </c>
      <c r="C61" s="19">
        <f>'7_공사비'!C14+'8_시공전후'!D11*IF(('1_입력값'!$D$16/100)=0,A61,((1+('1_입력값'!$D$16/100))^A61-1)/('1_입력값'!$D$16/100))+'8_시공전후'!D13*A61-('11_인센티브'!B$24+'11_인센티브'!B$25*MIN(A61,'11_인센티브'!$B$12)+'11_인센티브'!B$26*MIN(A61,'11_인센티브'!$B$15))</f>
      </c>
      <c r="D61" s="19">
        <f>'7_공사비'!D14+'8_시공전후'!E11*IF(('1_입력값'!$D$16/100)=0,A61,((1+('1_입력값'!$D$16/100))^A61-1)/('1_입력값'!$D$16/100))+'8_시공전후'!E13*A61-('11_인센티브'!C$24+'11_인센티브'!C$25*MIN(A61,'11_인센티브'!$B$12)+'11_인센티브'!C$26*MIN(A61,'11_인센티브'!$B$15))</f>
      </c>
      <c r="E61" s="19">
        <f>'7_공사비'!E14+'8_시공전후'!F11*IF(('1_입력값'!$D$16/100)=0,A61,((1+('1_입력값'!$D$16/100))^A61-1)/('1_입력값'!$D$16/100))+'8_시공전후'!F13*A61-('11_인센티브'!D$24+'11_인센티브'!D$25*MIN(A61,'11_인센티브'!$B$12)+'11_인센티브'!D$26*MIN(A61,'11_인센티브'!$B$15))</f>
      </c>
      <c r="F61" s="11">
        <f>IF(C61&lt;=B61,A61,"")</f>
      </c>
      <c r="G61" s="11">
        <f>IF(D61&lt;=B61,A61,"")</f>
      </c>
      <c r="H61" s="11">
        <f>IF(E61&lt;=B61,A61,"")</f>
      </c>
    </row>
    <row r="62" ht="19.5" customHeight="1" spans="1:8" x14ac:dyDescent="0.25">
      <c r="A62" s="11">
        <v>58</v>
      </c>
      <c r="B62" s="19">
        <f>'8_시공전후'!C11*IF(('1_입력값'!$D$16/100)=0,A62,((1+('1_입력값'!$D$16/100))^A62-1)/('1_입력값'!$D$16/100))</f>
      </c>
      <c r="C62" s="19">
        <f>'7_공사비'!C14+'8_시공전후'!D11*IF(('1_입력값'!$D$16/100)=0,A62,((1+('1_입력값'!$D$16/100))^A62-1)/('1_입력값'!$D$16/100))+'8_시공전후'!D13*A62-('11_인센티브'!B$24+'11_인센티브'!B$25*MIN(A62,'11_인센티브'!$B$12)+'11_인센티브'!B$26*MIN(A62,'11_인센티브'!$B$15))</f>
      </c>
      <c r="D62" s="19">
        <f>'7_공사비'!D14+'8_시공전후'!E11*IF(('1_입력값'!$D$16/100)=0,A62,((1+('1_입력값'!$D$16/100))^A62-1)/('1_입력값'!$D$16/100))+'8_시공전후'!E13*A62-('11_인센티브'!C$24+'11_인센티브'!C$25*MIN(A62,'11_인센티브'!$B$12)+'11_인센티브'!C$26*MIN(A62,'11_인센티브'!$B$15))</f>
      </c>
      <c r="E62" s="19">
        <f>'7_공사비'!E14+'8_시공전후'!F11*IF(('1_입력값'!$D$16/100)=0,A62,((1+('1_입력값'!$D$16/100))^A62-1)/('1_입력값'!$D$16/100))+'8_시공전후'!F13*A62-('11_인센티브'!D$24+'11_인센티브'!D$25*MIN(A62,'11_인센티브'!$B$12)+'11_인센티브'!D$26*MIN(A62,'11_인센티브'!$B$15))</f>
      </c>
      <c r="F62" s="11">
        <f>IF(C62&lt;=B62,A62,"")</f>
      </c>
      <c r="G62" s="11">
        <f>IF(D62&lt;=B62,A62,"")</f>
      </c>
      <c r="H62" s="11">
        <f>IF(E62&lt;=B62,A62,"")</f>
      </c>
    </row>
    <row r="63" ht="19.5" customHeight="1" spans="1:8" x14ac:dyDescent="0.25">
      <c r="A63" s="11">
        <v>59</v>
      </c>
      <c r="B63" s="19">
        <f>'8_시공전후'!C11*IF(('1_입력값'!$D$16/100)=0,A63,((1+('1_입력값'!$D$16/100))^A63-1)/('1_입력값'!$D$16/100))</f>
      </c>
      <c r="C63" s="19">
        <f>'7_공사비'!C14+'8_시공전후'!D11*IF(('1_입력값'!$D$16/100)=0,A63,((1+('1_입력값'!$D$16/100))^A63-1)/('1_입력값'!$D$16/100))+'8_시공전후'!D13*A63-('11_인센티브'!B$24+'11_인센티브'!B$25*MIN(A63,'11_인센티브'!$B$12)+'11_인센티브'!B$26*MIN(A63,'11_인센티브'!$B$15))</f>
      </c>
      <c r="D63" s="19">
        <f>'7_공사비'!D14+'8_시공전후'!E11*IF(('1_입력값'!$D$16/100)=0,A63,((1+('1_입력값'!$D$16/100))^A63-1)/('1_입력값'!$D$16/100))+'8_시공전후'!E13*A63-('11_인센티브'!C$24+'11_인센티브'!C$25*MIN(A63,'11_인센티브'!$B$12)+'11_인센티브'!C$26*MIN(A63,'11_인센티브'!$B$15))</f>
      </c>
      <c r="E63" s="19">
        <f>'7_공사비'!E14+'8_시공전후'!F11*IF(('1_입력값'!$D$16/100)=0,A63,((1+('1_입력값'!$D$16/100))^A63-1)/('1_입력값'!$D$16/100))+'8_시공전후'!F13*A63-('11_인센티브'!D$24+'11_인센티브'!D$25*MIN(A63,'11_인센티브'!$B$12)+'11_인센티브'!D$26*MIN(A63,'11_인센티브'!$B$15))</f>
      </c>
      <c r="F63" s="11">
        <f>IF(C63&lt;=B63,A63,"")</f>
      </c>
      <c r="G63" s="11">
        <f>IF(D63&lt;=B63,A63,"")</f>
      </c>
      <c r="H63" s="11">
        <f>IF(E63&lt;=B63,A63,"")</f>
      </c>
    </row>
    <row r="64" ht="19.5" customHeight="1" spans="1:8" x14ac:dyDescent="0.25">
      <c r="A64" s="11">
        <v>60</v>
      </c>
      <c r="B64" s="19">
        <f>'8_시공전후'!C11*IF(('1_입력값'!$D$16/100)=0,A64,((1+('1_입력값'!$D$16/100))^A64-1)/('1_입력값'!$D$16/100))</f>
      </c>
      <c r="C64" s="19">
        <f>'7_공사비'!C14+'8_시공전후'!D11*IF(('1_입력값'!$D$16/100)=0,A64,((1+('1_입력값'!$D$16/100))^A64-1)/('1_입력값'!$D$16/100))+'8_시공전후'!D13*A64-('11_인센티브'!B$24+'11_인센티브'!B$25*MIN(A64,'11_인센티브'!$B$12)+'11_인센티브'!B$26*MIN(A64,'11_인센티브'!$B$15))</f>
      </c>
      <c r="D64" s="19">
        <f>'7_공사비'!D14+'8_시공전후'!E11*IF(('1_입력값'!$D$16/100)=0,A64,((1+('1_입력값'!$D$16/100))^A64-1)/('1_입력값'!$D$16/100))+'8_시공전후'!E13*A64-('11_인센티브'!C$24+'11_인센티브'!C$25*MIN(A64,'11_인센티브'!$B$12)+'11_인센티브'!C$26*MIN(A64,'11_인센티브'!$B$15))</f>
      </c>
      <c r="E64" s="19">
        <f>'7_공사비'!E14+'8_시공전후'!F11*IF(('1_입력값'!$D$16/100)=0,A64,((1+('1_입력값'!$D$16/100))^A64-1)/('1_입력값'!$D$16/100))+'8_시공전후'!F13*A64-('11_인센티브'!D$24+'11_인센티브'!D$25*MIN(A64,'11_인센티브'!$B$12)+'11_인센티브'!D$26*MIN(A64,'11_인센티브'!$B$15))</f>
      </c>
      <c r="F64" s="11">
        <f>IF(C64&lt;=B64,A64,"")</f>
      </c>
      <c r="G64" s="11">
        <f>IF(D64&lt;=B64,A64,"")</f>
      </c>
      <c r="H64" s="11">
        <f>IF(E64&lt;=B64,A64,"")</f>
      </c>
    </row>
    <row r="66" ht="36" customHeight="1" spans="1:1" s="16" customFormat="1" x14ac:dyDescent="0.25">
      <c r="A66" s="17" t="s">
        <v>554</v>
      </c>
    </row>
    <row r="67" ht="36" customHeight="1" spans="1:16" x14ac:dyDescent="0.25">
      <c r="A67" s="9" t="s">
        <v>555</v>
      </c>
      <c r="B67" s="9" t="s">
        <v>556</v>
      </c>
      <c r="C67" s="9" t="s">
        <v>557</v>
      </c>
      <c r="D67" s="9" t="s">
        <v>558</v>
      </c>
      <c r="E67" s="9" t="s">
        <v>559</v>
      </c>
      <c r="F67" s="9" t="s">
        <v>560</v>
      </c>
      <c r="G67" s="9" t="s">
        <v>561</v>
      </c>
      <c r="H67" s="9" t="s">
        <v>562</v>
      </c>
      <c r="I67" s="9" t="s">
        <v>563</v>
      </c>
      <c r="J67" s="9" t="s">
        <v>564</v>
      </c>
      <c r="K67" s="9" t="s">
        <v>565</v>
      </c>
      <c r="L67" s="9" t="s">
        <v>566</v>
      </c>
      <c r="M67" s="9" t="s">
        <v>567</v>
      </c>
      <c r="N67" s="9" t="s">
        <v>568</v>
      </c>
      <c r="O67" s="9" t="s">
        <v>569</v>
      </c>
      <c r="P67" s="9" t="s">
        <v>570</v>
      </c>
    </row>
    <row r="68" ht="19.5" customHeight="1" spans="1:16" x14ac:dyDescent="0.25">
      <c r="A68" s="11" t="s">
        <v>198</v>
      </c>
      <c r="B68" s="27">
        <v>1</v>
      </c>
      <c r="C68" s="27">
        <v>1</v>
      </c>
      <c r="D68" s="27">
        <v>1</v>
      </c>
      <c r="E68" s="19">
        <f>'7_공사비'!$C$14/'1_입력값'!$D$31*B68</f>
      </c>
      <c r="F68" s="19">
        <f>('8_시공전후'!$C$11-'8_시공전후'!$D$11)/'1_입력값'!$D$32*C68-'8_시공전후'!$D$13/'1_입력값'!$D$33/'1_입력값'!$D$31*B68*D68</f>
      </c>
      <c r="G68" s="28">
        <f>IF(F68&lt;=0,"회수 불가",E68/F68)</f>
      </c>
      <c r="H68" s="19">
        <f>F68*'1_입력값'!$D$17-E68</f>
      </c>
      <c r="I68" s="19">
        <f>'7_공사비'!$D$14/'1_입력값'!$D$31*B68</f>
      </c>
      <c r="J68" s="19">
        <f>('8_시공전후'!$C$11-'8_시공전후'!$E$11)/'1_입력값'!$D$32*C68-'8_시공전후'!$E$13/'1_입력값'!$D$33/'1_입력값'!$D$31*B68*D68</f>
      </c>
      <c r="K68" s="28">
        <f>IF(J68&lt;=0,"회수 불가",I68/J68)</f>
      </c>
      <c r="L68" s="19">
        <f>J68*'1_입력값'!$D$17-I68</f>
      </c>
      <c r="M68" s="19">
        <f>'7_공사비'!$E$14/'1_입력값'!$D$31*B68</f>
      </c>
      <c r="N68" s="19">
        <f>('8_시공전후'!$C$11-'8_시공전후'!$F$11)/'1_입력값'!$D$32*C68-'8_시공전후'!$F$13/'1_입력값'!$D$33/'1_입력값'!$D$31*B68*D68</f>
      </c>
      <c r="O68" s="28">
        <f>IF(N68&lt;=0,"회수 불가",M68/N68)</f>
      </c>
      <c r="P68" s="19">
        <f>N68*'1_입력값'!$D$17-M68</f>
      </c>
    </row>
    <row r="69" ht="19.5" customHeight="1" spans="1:16" x14ac:dyDescent="0.25">
      <c r="A69" s="11" t="s">
        <v>571</v>
      </c>
      <c r="B69" s="27">
        <v>0.7</v>
      </c>
      <c r="C69" s="27">
        <v>1</v>
      </c>
      <c r="D69" s="27">
        <v>1</v>
      </c>
      <c r="E69" s="19">
        <f>'7_공사비'!$C$14/'1_입력값'!$D$31*B69</f>
      </c>
      <c r="F69" s="19">
        <f>('8_시공전후'!$C$11-'8_시공전후'!$D$11)/'1_입력값'!$D$32*C69-'8_시공전후'!$D$13/'1_입력값'!$D$33/'1_입력값'!$D$31*B69*D69</f>
      </c>
      <c r="G69" s="28">
        <f>IF(F69&lt;=0,"회수 불가",E69/F69)</f>
      </c>
      <c r="H69" s="19">
        <f>F69*'1_입력값'!$D$17-E69</f>
      </c>
      <c r="I69" s="19">
        <f>'7_공사비'!$D$14/'1_입력값'!$D$31*B69</f>
      </c>
      <c r="J69" s="19">
        <f>('8_시공전후'!$C$11-'8_시공전후'!$E$11)/'1_입력값'!$D$32*C69-'8_시공전후'!$E$13/'1_입력값'!$D$33/'1_입력값'!$D$31*B69*D69</f>
      </c>
      <c r="K69" s="28">
        <f>IF(J69&lt;=0,"회수 불가",I69/J69)</f>
      </c>
      <c r="L69" s="19">
        <f>J69*'1_입력값'!$D$17-I69</f>
      </c>
      <c r="M69" s="19">
        <f>'7_공사비'!$E$14/'1_입력값'!$D$31*B69</f>
      </c>
      <c r="N69" s="19">
        <f>('8_시공전후'!$C$11-'8_시공전후'!$F$11)/'1_입력값'!$D$32*C69-'8_시공전후'!$F$13/'1_입력값'!$D$33/'1_입력값'!$D$31*B69*D69</f>
      </c>
      <c r="O69" s="28">
        <f>IF(N69&lt;=0,"회수 불가",M69/N69)</f>
      </c>
      <c r="P69" s="19">
        <f>N69*'1_입력값'!$D$17-M69</f>
      </c>
    </row>
    <row r="70" ht="19.5" customHeight="1" spans="1:16" x14ac:dyDescent="0.25">
      <c r="A70" s="11" t="s">
        <v>572</v>
      </c>
      <c r="B70" s="27">
        <v>1.3</v>
      </c>
      <c r="C70" s="27">
        <v>1</v>
      </c>
      <c r="D70" s="27">
        <v>1</v>
      </c>
      <c r="E70" s="19">
        <f>'7_공사비'!$C$14/'1_입력값'!$D$31*B70</f>
      </c>
      <c r="F70" s="19">
        <f>('8_시공전후'!$C$11-'8_시공전후'!$D$11)/'1_입력값'!$D$32*C70-'8_시공전후'!$D$13/'1_입력값'!$D$33/'1_입력값'!$D$31*B70*D70</f>
      </c>
      <c r="G70" s="28">
        <f>IF(F70&lt;=0,"회수 불가",E70/F70)</f>
      </c>
      <c r="H70" s="19">
        <f>F70*'1_입력값'!$D$17-E70</f>
      </c>
      <c r="I70" s="19">
        <f>'7_공사비'!$D$14/'1_입력값'!$D$31*B70</f>
      </c>
      <c r="J70" s="19">
        <f>('8_시공전후'!$C$11-'8_시공전후'!$E$11)/'1_입력값'!$D$32*C70-'8_시공전후'!$E$13/'1_입력값'!$D$33/'1_입력값'!$D$31*B70*D70</f>
      </c>
      <c r="K70" s="28">
        <f>IF(J70&lt;=0,"회수 불가",I70/J70)</f>
      </c>
      <c r="L70" s="19">
        <f>J70*'1_입력값'!$D$17-I70</f>
      </c>
      <c r="M70" s="19">
        <f>'7_공사비'!$E$14/'1_입력값'!$D$31*B70</f>
      </c>
      <c r="N70" s="19">
        <f>('8_시공전후'!$C$11-'8_시공전후'!$F$11)/'1_입력값'!$D$32*C70-'8_시공전후'!$F$13/'1_입력값'!$D$33/'1_입력값'!$D$31*B70*D70</f>
      </c>
      <c r="O70" s="28">
        <f>IF(N70&lt;=0,"회수 불가",M70/N70)</f>
      </c>
      <c r="P70" s="19">
        <f>N70*'1_입력값'!$D$17-M70</f>
      </c>
    </row>
    <row r="71" ht="19.5" customHeight="1" spans="1:16" x14ac:dyDescent="0.25">
      <c r="A71" s="11" t="s">
        <v>573</v>
      </c>
      <c r="B71" s="27">
        <v>1</v>
      </c>
      <c r="C71" s="27">
        <v>0.7</v>
      </c>
      <c r="D71" s="27">
        <v>1</v>
      </c>
      <c r="E71" s="19">
        <f>'7_공사비'!$C$14/'1_입력값'!$D$31*B71</f>
      </c>
      <c r="F71" s="19">
        <f>('8_시공전후'!$C$11-'8_시공전후'!$D$11)/'1_입력값'!$D$32*C71-'8_시공전후'!$D$13/'1_입력값'!$D$33/'1_입력값'!$D$31*B71*D71</f>
      </c>
      <c r="G71" s="28">
        <f>IF(F71&lt;=0,"회수 불가",E71/F71)</f>
      </c>
      <c r="H71" s="19">
        <f>F71*'1_입력값'!$D$17-E71</f>
      </c>
      <c r="I71" s="19">
        <f>'7_공사비'!$D$14/'1_입력값'!$D$31*B71</f>
      </c>
      <c r="J71" s="19">
        <f>('8_시공전후'!$C$11-'8_시공전후'!$E$11)/'1_입력값'!$D$32*C71-'8_시공전후'!$E$13/'1_입력값'!$D$33/'1_입력값'!$D$31*B71*D71</f>
      </c>
      <c r="K71" s="28">
        <f>IF(J71&lt;=0,"회수 불가",I71/J71)</f>
      </c>
      <c r="L71" s="19">
        <f>J71*'1_입력값'!$D$17-I71</f>
      </c>
      <c r="M71" s="19">
        <f>'7_공사비'!$E$14/'1_입력값'!$D$31*B71</f>
      </c>
      <c r="N71" s="19">
        <f>('8_시공전후'!$C$11-'8_시공전후'!$F$11)/'1_입력값'!$D$32*C71-'8_시공전후'!$F$13/'1_입력값'!$D$33/'1_입력값'!$D$31*B71*D71</f>
      </c>
      <c r="O71" s="28">
        <f>IF(N71&lt;=0,"회수 불가",M71/N71)</f>
      </c>
      <c r="P71" s="19">
        <f>N71*'1_입력값'!$D$17-M71</f>
      </c>
    </row>
    <row r="72" ht="19.5" customHeight="1" spans="1:16" x14ac:dyDescent="0.25">
      <c r="A72" s="11" t="s">
        <v>574</v>
      </c>
      <c r="B72" s="27">
        <v>1</v>
      </c>
      <c r="C72" s="27">
        <v>1.3</v>
      </c>
      <c r="D72" s="27">
        <v>1</v>
      </c>
      <c r="E72" s="19">
        <f>'7_공사비'!$C$14/'1_입력값'!$D$31*B72</f>
      </c>
      <c r="F72" s="19">
        <f>('8_시공전후'!$C$11-'8_시공전후'!$D$11)/'1_입력값'!$D$32*C72-'8_시공전후'!$D$13/'1_입력값'!$D$33/'1_입력값'!$D$31*B72*D72</f>
      </c>
      <c r="G72" s="28">
        <f>IF(F72&lt;=0,"회수 불가",E72/F72)</f>
      </c>
      <c r="H72" s="19">
        <f>F72*'1_입력값'!$D$17-E72</f>
      </c>
      <c r="I72" s="19">
        <f>'7_공사비'!$D$14/'1_입력값'!$D$31*B72</f>
      </c>
      <c r="J72" s="19">
        <f>('8_시공전후'!$C$11-'8_시공전후'!$E$11)/'1_입력값'!$D$32*C72-'8_시공전후'!$E$13/'1_입력값'!$D$33/'1_입력값'!$D$31*B72*D72</f>
      </c>
      <c r="K72" s="28">
        <f>IF(J72&lt;=0,"회수 불가",I72/J72)</f>
      </c>
      <c r="L72" s="19">
        <f>J72*'1_입력값'!$D$17-I72</f>
      </c>
      <c r="M72" s="19">
        <f>'7_공사비'!$E$14/'1_입력값'!$D$31*B72</f>
      </c>
      <c r="N72" s="19">
        <f>('8_시공전후'!$C$11-'8_시공전후'!$F$11)/'1_입력값'!$D$32*C72-'8_시공전후'!$F$13/'1_입력값'!$D$33/'1_입력값'!$D$31*B72*D72</f>
      </c>
      <c r="O72" s="28">
        <f>IF(N72&lt;=0,"회수 불가",M72/N72)</f>
      </c>
      <c r="P72" s="19">
        <f>N72*'1_입력값'!$D$17-M72</f>
      </c>
    </row>
    <row r="73" ht="19.5" customHeight="1" spans="1:16" x14ac:dyDescent="0.25">
      <c r="A73" s="11" t="s">
        <v>575</v>
      </c>
      <c r="B73" s="27">
        <v>1</v>
      </c>
      <c r="C73" s="27">
        <v>1</v>
      </c>
      <c r="D73" s="27">
        <v>1.5</v>
      </c>
      <c r="E73" s="19">
        <f>'7_공사비'!$C$14/'1_입력값'!$D$31*B73</f>
      </c>
      <c r="F73" s="19">
        <f>('8_시공전후'!$C$11-'8_시공전후'!$D$11)/'1_입력값'!$D$32*C73-'8_시공전후'!$D$13/'1_입력값'!$D$33/'1_입력값'!$D$31*B73*D73</f>
      </c>
      <c r="G73" s="28">
        <f>IF(F73&lt;=0,"회수 불가",E73/F73)</f>
      </c>
      <c r="H73" s="19">
        <f>F73*'1_입력값'!$D$17-E73</f>
      </c>
      <c r="I73" s="19">
        <f>'7_공사비'!$D$14/'1_입력값'!$D$31*B73</f>
      </c>
      <c r="J73" s="19">
        <f>('8_시공전후'!$C$11-'8_시공전후'!$E$11)/'1_입력값'!$D$32*C73-'8_시공전후'!$E$13/'1_입력값'!$D$33/'1_입력값'!$D$31*B73*D73</f>
      </c>
      <c r="K73" s="28">
        <f>IF(J73&lt;=0,"회수 불가",I73/J73)</f>
      </c>
      <c r="L73" s="19">
        <f>J73*'1_입력값'!$D$17-I73</f>
      </c>
      <c r="M73" s="19">
        <f>'7_공사비'!$E$14/'1_입력값'!$D$31*B73</f>
      </c>
      <c r="N73" s="19">
        <f>('8_시공전후'!$C$11-'8_시공전후'!$F$11)/'1_입력값'!$D$32*C73-'8_시공전후'!$F$13/'1_입력값'!$D$33/'1_입력값'!$D$31*B73*D73</f>
      </c>
      <c r="O73" s="28">
        <f>IF(N73&lt;=0,"회수 불가",M73/N73)</f>
      </c>
      <c r="P73" s="19">
        <f>N73*'1_입력값'!$D$17-M73</f>
      </c>
    </row>
    <row r="74" ht="36" customHeight="1" spans="1:16" x14ac:dyDescent="0.25">
      <c r="A74" s="11" t="s">
        <v>576</v>
      </c>
      <c r="B74" s="27">
        <v>1.3</v>
      </c>
      <c r="C74" s="27">
        <v>0.7</v>
      </c>
      <c r="D74" s="27">
        <v>1.5</v>
      </c>
      <c r="E74" s="19">
        <f>'7_공사비'!$C$14/'1_입력값'!$D$31*B74</f>
      </c>
      <c r="F74" s="19">
        <f>('8_시공전후'!$C$11-'8_시공전후'!$D$11)/'1_입력값'!$D$32*C74-'8_시공전후'!$D$13/'1_입력값'!$D$33/'1_입력값'!$D$31*B74*D74</f>
      </c>
      <c r="G74" s="28">
        <f>IF(F74&lt;=0,"회수 불가",E74/F74)</f>
      </c>
      <c r="H74" s="19">
        <f>F74*'1_입력값'!$D$17-E74</f>
      </c>
      <c r="I74" s="19">
        <f>'7_공사비'!$D$14/'1_입력값'!$D$31*B74</f>
      </c>
      <c r="J74" s="19">
        <f>('8_시공전후'!$C$11-'8_시공전후'!$E$11)/'1_입력값'!$D$32*C74-'8_시공전후'!$E$13/'1_입력값'!$D$33/'1_입력값'!$D$31*B74*D74</f>
      </c>
      <c r="K74" s="28">
        <f>IF(J74&lt;=0,"회수 불가",I74/J74)</f>
      </c>
      <c r="L74" s="19">
        <f>J74*'1_입력값'!$D$17-I74</f>
      </c>
      <c r="M74" s="19">
        <f>'7_공사비'!$E$14/'1_입력값'!$D$31*B74</f>
      </c>
      <c r="N74" s="19">
        <f>('8_시공전후'!$C$11-'8_시공전후'!$F$11)/'1_입력값'!$D$32*C74-'8_시공전후'!$F$13/'1_입력값'!$D$33/'1_입력값'!$D$31*B74*D74</f>
      </c>
      <c r="O74" s="28">
        <f>IF(N74&lt;=0,"회수 불가",M74/N74)</f>
      </c>
      <c r="P74" s="19">
        <f>N74*'1_입력값'!$D$17-M74</f>
      </c>
    </row>
    <row r="75" ht="36" customHeight="1" spans="1:16" x14ac:dyDescent="0.25">
      <c r="A75" s="11" t="s">
        <v>577</v>
      </c>
      <c r="B75" s="27">
        <v>0.7</v>
      </c>
      <c r="C75" s="27">
        <v>1.3</v>
      </c>
      <c r="D75" s="27">
        <v>1</v>
      </c>
      <c r="E75" s="19">
        <f>'7_공사비'!$C$14/'1_입력값'!$D$31*B75</f>
      </c>
      <c r="F75" s="19">
        <f>('8_시공전후'!$C$11-'8_시공전후'!$D$11)/'1_입력값'!$D$32*C75-'8_시공전후'!$D$13/'1_입력값'!$D$33/'1_입력값'!$D$31*B75*D75</f>
      </c>
      <c r="G75" s="28">
        <f>IF(F75&lt;=0,"회수 불가",E75/F75)</f>
      </c>
      <c r="H75" s="19">
        <f>F75*'1_입력값'!$D$17-E75</f>
      </c>
      <c r="I75" s="19">
        <f>'7_공사비'!$D$14/'1_입력값'!$D$31*B75</f>
      </c>
      <c r="J75" s="19">
        <f>('8_시공전후'!$C$11-'8_시공전후'!$E$11)/'1_입력값'!$D$32*C75-'8_시공전후'!$E$13/'1_입력값'!$D$33/'1_입력값'!$D$31*B75*D75</f>
      </c>
      <c r="K75" s="28">
        <f>IF(J75&lt;=0,"회수 불가",I75/J75)</f>
      </c>
      <c r="L75" s="19">
        <f>J75*'1_입력값'!$D$17-I75</f>
      </c>
      <c r="M75" s="19">
        <f>'7_공사비'!$E$14/'1_입력값'!$D$31*B75</f>
      </c>
      <c r="N75" s="19">
        <f>('8_시공전후'!$C$11-'8_시공전후'!$F$11)/'1_입력값'!$D$32*C75-'8_시공전후'!$F$13/'1_입력값'!$D$33/'1_입력값'!$D$31*B75*D75</f>
      </c>
      <c r="O75" s="28">
        <f>IF(N75&lt;=0,"회수 불가",M75/N75)</f>
      </c>
      <c r="P75" s="19">
        <f>N75*'1_입력값'!$D$17-M75</f>
      </c>
    </row>
    <row r="77" ht="19.5" customHeight="1" spans="1:16" x14ac:dyDescent="0.25">
      <c r="A77" s="11" t="s">
        <v>578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</sheetData>
  <mergeCells count="3">
    <mergeCell ref="A1:P1"/>
    <mergeCell ref="A2:P2"/>
    <mergeCell ref="A77:P7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36" customWidth="1"/>
    <col min="2" max="4" width="20" customWidth="1"/>
    <col min="5" max="5" width="60" customWidth="1"/>
  </cols>
  <sheetData>
    <row r="1" ht="19.5" customHeight="1" spans="1:5" s="16" customFormat="1" x14ac:dyDescent="0.25">
      <c r="A1" s="17" t="s">
        <v>579</v>
      </c>
      <c r="B1" s="17"/>
      <c r="C1" s="17"/>
      <c r="D1" s="17"/>
      <c r="E1" s="17"/>
    </row>
    <row r="2" ht="36" customHeight="1" spans="1:5" x14ac:dyDescent="0.25">
      <c r="A2" s="11" t="s">
        <v>580</v>
      </c>
      <c r="B2" s="11"/>
      <c r="C2" s="11"/>
      <c r="D2" s="11"/>
      <c r="E2" s="11"/>
    </row>
    <row r="4" ht="19.5" customHeight="1" spans="1:5" x14ac:dyDescent="0.25">
      <c r="A4" s="9" t="s">
        <v>581</v>
      </c>
      <c r="B4" s="9" t="s">
        <v>25</v>
      </c>
      <c r="C4" s="9" t="s">
        <v>26</v>
      </c>
      <c r="D4" s="9" t="s">
        <v>1</v>
      </c>
      <c r="E4" s="9" t="s">
        <v>582</v>
      </c>
    </row>
    <row r="5" ht="19.5" customHeight="1" spans="1:5" x14ac:dyDescent="0.25">
      <c r="A5" s="11" t="s">
        <v>583</v>
      </c>
      <c r="B5" s="12">
        <v>0</v>
      </c>
      <c r="C5" s="11" t="s">
        <v>171</v>
      </c>
      <c r="D5" s="11" t="s">
        <v>1</v>
      </c>
      <c r="E5" s="11" t="s">
        <v>584</v>
      </c>
    </row>
    <row r="6" ht="36" customHeight="1" spans="1:5" x14ac:dyDescent="0.25">
      <c r="A6" s="11" t="s">
        <v>585</v>
      </c>
      <c r="B6" s="12" t="s">
        <v>586</v>
      </c>
      <c r="C6" s="11" t="s">
        <v>587</v>
      </c>
      <c r="D6" s="11" t="s">
        <v>1</v>
      </c>
      <c r="E6" s="11" t="s">
        <v>588</v>
      </c>
    </row>
    <row r="7" ht="19.5" customHeight="1" spans="1:5" x14ac:dyDescent="0.25">
      <c r="A7" s="11" t="s">
        <v>589</v>
      </c>
      <c r="B7" s="10">
        <v>20000000000</v>
      </c>
      <c r="C7" s="11" t="s">
        <v>590</v>
      </c>
      <c r="D7" s="11" t="s">
        <v>1</v>
      </c>
      <c r="E7" s="11" t="s">
        <v>591</v>
      </c>
    </row>
    <row r="8" ht="36" customHeight="1" spans="1:5" x14ac:dyDescent="0.25">
      <c r="A8" s="11" t="s">
        <v>592</v>
      </c>
      <c r="B8" s="10">
        <v>3.16</v>
      </c>
      <c r="C8" s="11" t="s">
        <v>95</v>
      </c>
      <c r="D8" s="11" t="s">
        <v>1</v>
      </c>
      <c r="E8" s="11" t="s">
        <v>593</v>
      </c>
    </row>
    <row r="9" ht="36" customHeight="1" spans="1:5" x14ac:dyDescent="0.25">
      <c r="A9" s="11" t="s">
        <v>594</v>
      </c>
      <c r="B9" s="12">
        <v>10</v>
      </c>
      <c r="C9" s="11" t="s">
        <v>95</v>
      </c>
      <c r="D9" s="11" t="s">
        <v>1</v>
      </c>
      <c r="E9" s="11" t="s">
        <v>595</v>
      </c>
    </row>
    <row r="10" ht="19.5" customHeight="1" spans="1:5" x14ac:dyDescent="0.25">
      <c r="A10" s="11" t="s">
        <v>596</v>
      </c>
      <c r="B10" s="10">
        <v>100000000</v>
      </c>
      <c r="C10" s="11" t="s">
        <v>255</v>
      </c>
      <c r="D10" s="11" t="s">
        <v>1</v>
      </c>
      <c r="E10" s="11" t="s">
        <v>20</v>
      </c>
    </row>
    <row r="11" ht="19.5" customHeight="1" spans="1:5" x14ac:dyDescent="0.25">
      <c r="A11" s="11" t="s">
        <v>597</v>
      </c>
      <c r="B11" s="12">
        <v>9</v>
      </c>
      <c r="C11" s="11" t="s">
        <v>95</v>
      </c>
      <c r="D11" s="11" t="s">
        <v>1</v>
      </c>
      <c r="E11" s="11" t="s">
        <v>598</v>
      </c>
    </row>
    <row r="12" ht="19.5" customHeight="1" spans="1:5" x14ac:dyDescent="0.25">
      <c r="A12" s="11" t="s">
        <v>599</v>
      </c>
      <c r="B12" s="12">
        <v>5</v>
      </c>
      <c r="C12" s="11" t="s">
        <v>88</v>
      </c>
      <c r="D12" s="11" t="s">
        <v>1</v>
      </c>
      <c r="E12" s="11" t="s">
        <v>600</v>
      </c>
    </row>
    <row r="13" ht="36" customHeight="1" spans="1:5" x14ac:dyDescent="0.25">
      <c r="A13" s="11" t="s">
        <v>601</v>
      </c>
      <c r="B13" s="12">
        <v>70</v>
      </c>
      <c r="C13" s="11" t="s">
        <v>95</v>
      </c>
      <c r="D13" s="11" t="s">
        <v>1</v>
      </c>
      <c r="E13" s="11" t="s">
        <v>130</v>
      </c>
    </row>
    <row r="14" ht="36" customHeight="1" spans="1:5" x14ac:dyDescent="0.25">
      <c r="A14" s="11" t="s">
        <v>602</v>
      </c>
      <c r="B14" s="12">
        <v>3</v>
      </c>
      <c r="C14" s="11" t="s">
        <v>95</v>
      </c>
      <c r="D14" s="11" t="s">
        <v>1</v>
      </c>
      <c r="E14" s="11" t="s">
        <v>603</v>
      </c>
    </row>
    <row r="15" ht="19.5" customHeight="1" spans="1:5" x14ac:dyDescent="0.25">
      <c r="A15" s="11" t="s">
        <v>604</v>
      </c>
      <c r="B15" s="12">
        <v>5</v>
      </c>
      <c r="C15" s="11" t="s">
        <v>88</v>
      </c>
      <c r="D15" s="11" t="s">
        <v>1</v>
      </c>
      <c r="E15" s="11" t="s">
        <v>130</v>
      </c>
    </row>
    <row r="17" ht="19.5" customHeight="1" spans="1:5" x14ac:dyDescent="0.25">
      <c r="A17" s="9" t="s">
        <v>605</v>
      </c>
      <c r="B17" s="9" t="s">
        <v>478</v>
      </c>
      <c r="C17" s="9" t="s">
        <v>479</v>
      </c>
      <c r="D17" s="9" t="s">
        <v>480</v>
      </c>
      <c r="E17" s="9" t="s">
        <v>606</v>
      </c>
    </row>
    <row r="18" ht="19.5" customHeight="1" spans="1:5" x14ac:dyDescent="0.25">
      <c r="A18" s="11" t="s">
        <v>607</v>
      </c>
      <c r="B18" s="12">
        <v>1</v>
      </c>
      <c r="C18" s="12">
        <v>1</v>
      </c>
      <c r="D18" s="12">
        <v>1</v>
      </c>
      <c r="E18" s="11" t="s">
        <v>608</v>
      </c>
    </row>
    <row r="19" ht="19.5" customHeight="1" spans="1:5" x14ac:dyDescent="0.25">
      <c r="A19" s="11" t="s">
        <v>609</v>
      </c>
      <c r="B19" s="19">
        <f>B18*$B$7*$B$8/100*$B$9/100</f>
      </c>
      <c r="C19" s="19">
        <f>C18*$B$7*$B$8/100*$B$9/100</f>
      </c>
      <c r="D19" s="19">
        <f>D18*$B$7*$B$8/100*$B$9/100</f>
      </c>
      <c r="E19" s="11" t="s">
        <v>610</v>
      </c>
    </row>
    <row r="20" ht="19.5" customHeight="1" spans="1:5" x14ac:dyDescent="0.25">
      <c r="A20" s="11" t="s">
        <v>611</v>
      </c>
      <c r="B20" s="19">
        <f>B18*$B$10*$B$11/100</f>
      </c>
      <c r="C20" s="19">
        <f>C18*$B$10*$B$11/100</f>
      </c>
      <c r="D20" s="19">
        <f>D18*$B$10*$B$11/100</f>
      </c>
      <c r="E20" s="11" t="s">
        <v>612</v>
      </c>
    </row>
    <row r="21" ht="19.5" customHeight="1" spans="1:5" x14ac:dyDescent="0.25">
      <c r="A21" s="11" t="s">
        <v>613</v>
      </c>
      <c r="B21" s="19">
        <f>B18*'7_공사비'!C14*$B$13/100*$B$14/100</f>
      </c>
      <c r="C21" s="19">
        <f>C18*'7_공사비'!D14*$B$13/100*$B$14/100</f>
      </c>
      <c r="D21" s="19">
        <f>D18*'7_공사비'!E14*$B$13/100*$B$14/100</f>
      </c>
      <c r="E21" s="11" t="s">
        <v>614</v>
      </c>
    </row>
    <row r="23" ht="36" customHeight="1" spans="1:5" x14ac:dyDescent="0.25">
      <c r="A23" s="9" t="s">
        <v>615</v>
      </c>
      <c r="B23" s="9" t="s">
        <v>478</v>
      </c>
      <c r="C23" s="9" t="s">
        <v>479</v>
      </c>
      <c r="D23" s="9" t="s">
        <v>480</v>
      </c>
      <c r="E23" s="9" t="s">
        <v>616</v>
      </c>
    </row>
    <row r="24" ht="19.5" customHeight="1" spans="1:5" x14ac:dyDescent="0.25">
      <c r="A24" s="11" t="s">
        <v>617</v>
      </c>
      <c r="B24" s="19">
        <f>IF(AND($B$5=1,$B$6="신축"),B19,0)</f>
      </c>
      <c r="C24" s="19">
        <f>IF(AND($B$5=1,$B$6="신축"),C19,0)</f>
      </c>
      <c r="D24" s="19">
        <f>IF(AND($B$5=1,$B$6="신축"),D19,0)</f>
      </c>
      <c r="E24" s="11" t="s">
        <v>1</v>
      </c>
    </row>
    <row r="25" ht="19.5" customHeight="1" spans="1:5" x14ac:dyDescent="0.25">
      <c r="A25" s="11" t="s">
        <v>618</v>
      </c>
      <c r="B25" s="19">
        <f>IF($B$5=1,B20,0)</f>
      </c>
      <c r="C25" s="19">
        <f>IF($B$5=1,C20,0)</f>
      </c>
      <c r="D25" s="19">
        <f>IF($B$5=1,D20,0)</f>
      </c>
      <c r="E25" s="11" t="s">
        <v>1</v>
      </c>
    </row>
    <row r="26" ht="19.5" customHeight="1" spans="1:5" x14ac:dyDescent="0.25">
      <c r="A26" s="11" t="s">
        <v>619</v>
      </c>
      <c r="B26" s="19">
        <f>IF(AND($B$5=1,$B$6="리모델링"),B21,0)</f>
      </c>
      <c r="C26" s="19">
        <f>IF(AND($B$5=1,$B$6="리모델링"),C21,0)</f>
      </c>
      <c r="D26" s="19">
        <f>IF(AND($B$5=1,$B$6="리모델링"),D21,0)</f>
      </c>
      <c r="E26" s="11" t="s">
        <v>1</v>
      </c>
    </row>
  </sheetData>
  <mergeCells count="2">
    <mergeCell ref="A1:E1"/>
    <mergeCell ref="A2:E2"/>
  </mergeCells>
  <dataValidations count="1">
    <dataValidation type="list" sqref="B6">
      <formula1>"신축,리모델링"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50" customWidth="1"/>
    <col min="4" max="4" width="16" customWidth="1"/>
    <col min="5" max="5" width="34" customWidth="1"/>
    <col min="6" max="6" width="12" customWidth="1"/>
    <col min="7" max="7" width="10" customWidth="1"/>
  </cols>
  <sheetData>
    <row r="1" ht="19.5" customHeight="1" spans="1:7" x14ac:dyDescent="0.25">
      <c r="A1" s="29" t="s">
        <v>620</v>
      </c>
      <c r="B1" s="29" t="s">
        <v>23</v>
      </c>
      <c r="C1" s="29" t="s">
        <v>621</v>
      </c>
      <c r="D1" s="29" t="s">
        <v>286</v>
      </c>
      <c r="E1" s="29" t="s">
        <v>622</v>
      </c>
      <c r="F1" s="29" t="s">
        <v>623</v>
      </c>
      <c r="G1" s="29" t="s">
        <v>624</v>
      </c>
    </row>
    <row r="2" ht="36" customHeight="1" spans="1:7" x14ac:dyDescent="0.25">
      <c r="A2" s="11">
        <v>1</v>
      </c>
      <c r="B2" s="11" t="s">
        <v>625</v>
      </c>
      <c r="C2" s="11" t="s">
        <v>626</v>
      </c>
      <c r="D2" s="11" t="s">
        <v>73</v>
      </c>
      <c r="E2" s="11" t="s">
        <v>627</v>
      </c>
      <c r="F2" s="11" t="s">
        <v>1</v>
      </c>
      <c r="G2" s="11" t="s">
        <v>628</v>
      </c>
    </row>
    <row r="3" ht="36" customHeight="1" spans="1:7" x14ac:dyDescent="0.25">
      <c r="A3" s="11">
        <v>1</v>
      </c>
      <c r="B3" s="11" t="s">
        <v>625</v>
      </c>
      <c r="C3" s="11" t="s">
        <v>629</v>
      </c>
      <c r="D3" s="11" t="s">
        <v>73</v>
      </c>
      <c r="E3" s="11" t="s">
        <v>630</v>
      </c>
      <c r="F3" s="11" t="s">
        <v>1</v>
      </c>
      <c r="G3" s="11" t="s">
        <v>628</v>
      </c>
    </row>
    <row r="4" ht="36" customHeight="1" spans="1:7" x14ac:dyDescent="0.25">
      <c r="A4" s="11">
        <v>1</v>
      </c>
      <c r="B4" s="11" t="s">
        <v>625</v>
      </c>
      <c r="C4" s="11" t="s">
        <v>631</v>
      </c>
      <c r="D4" s="11" t="s">
        <v>291</v>
      </c>
      <c r="E4" s="11" t="s">
        <v>630</v>
      </c>
      <c r="F4" s="11" t="s">
        <v>1</v>
      </c>
      <c r="G4" s="11" t="s">
        <v>628</v>
      </c>
    </row>
    <row r="5" ht="36" customHeight="1" spans="1:7" x14ac:dyDescent="0.25">
      <c r="A5" s="11">
        <v>2</v>
      </c>
      <c r="B5" s="11" t="s">
        <v>632</v>
      </c>
      <c r="C5" s="11" t="s">
        <v>633</v>
      </c>
      <c r="D5" s="11" t="s">
        <v>73</v>
      </c>
      <c r="E5" s="11" t="s">
        <v>634</v>
      </c>
      <c r="F5" s="11" t="s">
        <v>1</v>
      </c>
      <c r="G5" s="11" t="s">
        <v>628</v>
      </c>
    </row>
    <row r="6" ht="19.5" customHeight="1" spans="1:7" x14ac:dyDescent="0.25">
      <c r="A6" s="11">
        <v>2</v>
      </c>
      <c r="B6" s="11" t="s">
        <v>632</v>
      </c>
      <c r="C6" s="11" t="s">
        <v>635</v>
      </c>
      <c r="D6" s="11" t="s">
        <v>73</v>
      </c>
      <c r="E6" s="11" t="s">
        <v>636</v>
      </c>
      <c r="F6" s="11" t="s">
        <v>1</v>
      </c>
      <c r="G6" s="11" t="s">
        <v>628</v>
      </c>
    </row>
    <row r="7" ht="19.5" customHeight="1" spans="1:7" x14ac:dyDescent="0.25">
      <c r="A7" s="11">
        <v>2</v>
      </c>
      <c r="B7" s="11" t="s">
        <v>632</v>
      </c>
      <c r="C7" s="11" t="s">
        <v>637</v>
      </c>
      <c r="D7" s="11" t="s">
        <v>295</v>
      </c>
      <c r="E7" s="11" t="s">
        <v>638</v>
      </c>
      <c r="F7" s="11" t="s">
        <v>1</v>
      </c>
      <c r="G7" s="11" t="s">
        <v>628</v>
      </c>
    </row>
    <row r="8" ht="19.5" customHeight="1" spans="1:7" x14ac:dyDescent="0.25">
      <c r="A8" s="11">
        <v>3</v>
      </c>
      <c r="B8" s="11" t="s">
        <v>639</v>
      </c>
      <c r="C8" s="11" t="s">
        <v>640</v>
      </c>
      <c r="D8" s="11" t="s">
        <v>73</v>
      </c>
      <c r="E8" s="11" t="s">
        <v>641</v>
      </c>
      <c r="F8" s="11" t="s">
        <v>1</v>
      </c>
      <c r="G8" s="11" t="s">
        <v>628</v>
      </c>
    </row>
    <row r="9" ht="19.5" customHeight="1" spans="1:7" x14ac:dyDescent="0.25">
      <c r="A9" s="11">
        <v>3</v>
      </c>
      <c r="B9" s="11" t="s">
        <v>639</v>
      </c>
      <c r="C9" s="11" t="s">
        <v>642</v>
      </c>
      <c r="D9" s="11" t="s">
        <v>643</v>
      </c>
      <c r="E9" s="11" t="s">
        <v>1</v>
      </c>
      <c r="F9" s="11" t="s">
        <v>1</v>
      </c>
      <c r="G9" s="11" t="s">
        <v>628</v>
      </c>
    </row>
    <row r="10" ht="36" customHeight="1" spans="1:7" x14ac:dyDescent="0.25">
      <c r="A10" s="11">
        <v>3</v>
      </c>
      <c r="B10" s="11" t="s">
        <v>639</v>
      </c>
      <c r="C10" s="11" t="s">
        <v>644</v>
      </c>
      <c r="D10" s="11" t="s">
        <v>645</v>
      </c>
      <c r="E10" s="11" t="s">
        <v>646</v>
      </c>
      <c r="F10" s="14" t="s">
        <v>647</v>
      </c>
      <c r="G10" s="11" t="s">
        <v>628</v>
      </c>
    </row>
    <row r="11" ht="36" customHeight="1" spans="1:7" x14ac:dyDescent="0.25">
      <c r="A11" s="11">
        <v>4</v>
      </c>
      <c r="B11" s="11" t="s">
        <v>648</v>
      </c>
      <c r="C11" s="11" t="s">
        <v>649</v>
      </c>
      <c r="D11" s="11" t="s">
        <v>73</v>
      </c>
      <c r="E11" s="11" t="s">
        <v>1</v>
      </c>
      <c r="F11" s="11" t="s">
        <v>1</v>
      </c>
      <c r="G11" s="11" t="s">
        <v>628</v>
      </c>
    </row>
    <row r="12" ht="19.5" customHeight="1" spans="1:7" x14ac:dyDescent="0.25">
      <c r="A12" s="11">
        <v>4</v>
      </c>
      <c r="B12" s="11" t="s">
        <v>648</v>
      </c>
      <c r="C12" s="11" t="s">
        <v>650</v>
      </c>
      <c r="D12" s="11" t="s">
        <v>73</v>
      </c>
      <c r="E12" s="11" t="s">
        <v>651</v>
      </c>
      <c r="F12" s="11" t="s">
        <v>1</v>
      </c>
      <c r="G12" s="11" t="s">
        <v>628</v>
      </c>
    </row>
    <row r="13" ht="19.5" customHeight="1" spans="1:7" x14ac:dyDescent="0.25">
      <c r="A13" s="11">
        <v>4</v>
      </c>
      <c r="B13" s="11" t="s">
        <v>648</v>
      </c>
      <c r="C13" s="11" t="s">
        <v>652</v>
      </c>
      <c r="D13" s="11" t="s">
        <v>73</v>
      </c>
      <c r="E13" s="11" t="s">
        <v>1</v>
      </c>
      <c r="F13" s="11" t="s">
        <v>1</v>
      </c>
      <c r="G13" s="11" t="s">
        <v>628</v>
      </c>
    </row>
    <row r="14" ht="36" customHeight="1" spans="1:7" x14ac:dyDescent="0.25">
      <c r="A14" s="11">
        <v>5</v>
      </c>
      <c r="B14" s="11" t="s">
        <v>653</v>
      </c>
      <c r="C14" s="11" t="s">
        <v>654</v>
      </c>
      <c r="D14" s="11" t="s">
        <v>655</v>
      </c>
      <c r="E14" s="11" t="s">
        <v>1</v>
      </c>
      <c r="F14" s="14" t="s">
        <v>656</v>
      </c>
      <c r="G14" s="11" t="s">
        <v>628</v>
      </c>
    </row>
    <row r="15" ht="19.5" customHeight="1" spans="1:7" x14ac:dyDescent="0.25">
      <c r="A15" s="11">
        <v>5</v>
      </c>
      <c r="B15" s="11" t="s">
        <v>653</v>
      </c>
      <c r="C15" s="11" t="s">
        <v>657</v>
      </c>
      <c r="D15" s="11" t="s">
        <v>73</v>
      </c>
      <c r="E15" s="11" t="s">
        <v>658</v>
      </c>
      <c r="F15" s="11" t="s">
        <v>1</v>
      </c>
      <c r="G15" s="11" t="s">
        <v>628</v>
      </c>
    </row>
    <row r="16" ht="19.5" customHeight="1" spans="1:7" x14ac:dyDescent="0.25">
      <c r="A16" s="11">
        <v>5</v>
      </c>
      <c r="B16" s="11" t="s">
        <v>653</v>
      </c>
      <c r="C16" s="11" t="s">
        <v>659</v>
      </c>
      <c r="D16" s="11" t="s">
        <v>73</v>
      </c>
      <c r="E16" s="11" t="s">
        <v>660</v>
      </c>
      <c r="F16" s="11" t="s">
        <v>1</v>
      </c>
      <c r="G16" s="11" t="s">
        <v>628</v>
      </c>
    </row>
    <row r="17" ht="36" customHeight="1" spans="1:7" x14ac:dyDescent="0.25">
      <c r="A17" s="11">
        <v>6</v>
      </c>
      <c r="B17" s="11" t="s">
        <v>661</v>
      </c>
      <c r="C17" s="11" t="s">
        <v>662</v>
      </c>
      <c r="D17" s="11" t="s">
        <v>73</v>
      </c>
      <c r="E17" s="11" t="s">
        <v>663</v>
      </c>
      <c r="F17" s="11" t="s">
        <v>1</v>
      </c>
      <c r="G17" s="11" t="s">
        <v>628</v>
      </c>
    </row>
    <row r="18" ht="19.5" customHeight="1" spans="1:7" x14ac:dyDescent="0.25">
      <c r="A18" s="11">
        <v>6</v>
      </c>
      <c r="B18" s="11" t="s">
        <v>661</v>
      </c>
      <c r="C18" s="11" t="s">
        <v>664</v>
      </c>
      <c r="D18" s="11" t="s">
        <v>73</v>
      </c>
      <c r="E18" s="11" t="s">
        <v>1</v>
      </c>
      <c r="F18" s="11" t="s">
        <v>1</v>
      </c>
      <c r="G18" s="11" t="s">
        <v>628</v>
      </c>
    </row>
    <row r="19" ht="19.5" customHeight="1" spans="1:7" x14ac:dyDescent="0.25">
      <c r="A19" s="11">
        <v>6</v>
      </c>
      <c r="B19" s="11" t="s">
        <v>661</v>
      </c>
      <c r="C19" s="11" t="s">
        <v>665</v>
      </c>
      <c r="D19" s="11" t="s">
        <v>666</v>
      </c>
      <c r="E19" s="11" t="s">
        <v>1</v>
      </c>
      <c r="F19" s="11" t="s">
        <v>1</v>
      </c>
      <c r="G19" s="11" t="s">
        <v>628</v>
      </c>
    </row>
    <row r="20" ht="19.5" customHeight="1" spans="1:7" x14ac:dyDescent="0.25">
      <c r="A20" s="11">
        <v>7</v>
      </c>
      <c r="B20" s="11" t="s">
        <v>667</v>
      </c>
      <c r="C20" s="11" t="s">
        <v>668</v>
      </c>
      <c r="D20" s="11" t="s">
        <v>73</v>
      </c>
      <c r="E20" s="11" t="s">
        <v>1</v>
      </c>
      <c r="F20" s="11" t="s">
        <v>1</v>
      </c>
      <c r="G20" s="11" t="s">
        <v>628</v>
      </c>
    </row>
    <row r="21" ht="19.5" customHeight="1" spans="1:7" x14ac:dyDescent="0.25">
      <c r="A21" s="11">
        <v>7</v>
      </c>
      <c r="B21" s="11" t="s">
        <v>667</v>
      </c>
      <c r="C21" s="11" t="s">
        <v>669</v>
      </c>
      <c r="D21" s="11" t="s">
        <v>73</v>
      </c>
      <c r="E21" s="11" t="s">
        <v>670</v>
      </c>
      <c r="F21" s="11" t="s">
        <v>1</v>
      </c>
      <c r="G21" s="11" t="s">
        <v>628</v>
      </c>
    </row>
    <row r="23" ht="234" customHeight="1" spans="1:7" x14ac:dyDescent="0.25">
      <c r="A23" s="11" t="s">
        <v>1</v>
      </c>
      <c r="B23" s="11" t="s">
        <v>671</v>
      </c>
      <c r="C23" s="11" t="s">
        <v>672</v>
      </c>
      <c r="D23" s="11"/>
      <c r="E23" s="11"/>
      <c r="F23" s="11"/>
      <c r="G23" s="11"/>
    </row>
  </sheetData>
  <mergeCells count="1">
    <mergeCell ref="C23:G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zoomScale="100" zoomScaleNormal="10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6" width="16" customWidth="1"/>
    <col min="7" max="7" width="44" customWidth="1"/>
  </cols>
  <sheetData>
    <row r="1" spans="1:1" x14ac:dyDescent="0.25">
      <c r="A1" s="30" t="s">
        <v>673</v>
      </c>
    </row>
    <row r="2" ht="30" customHeight="1" spans="1:7" x14ac:dyDescent="0.25">
      <c r="A2" s="31" t="s">
        <v>674</v>
      </c>
      <c r="B2" s="31"/>
      <c r="C2" s="31"/>
      <c r="D2" s="31"/>
      <c r="E2" s="31"/>
      <c r="F2" s="31"/>
      <c r="G2" s="31"/>
    </row>
    <row r="4" spans="1:1" x14ac:dyDescent="0.25">
      <c r="A4" s="1" t="s">
        <v>675</v>
      </c>
    </row>
    <row r="5" spans="1:7" x14ac:dyDescent="0.25">
      <c r="A5" t="s">
        <v>676</v>
      </c>
      <c r="B5" s="32">
        <v>0.46</v>
      </c>
      <c r="G5" s="33" t="s">
        <v>677</v>
      </c>
    </row>
    <row r="6" spans="1:7" x14ac:dyDescent="0.25">
      <c r="A6" t="s">
        <v>678</v>
      </c>
      <c r="B6" s="32">
        <v>151</v>
      </c>
      <c r="G6" s="33" t="s">
        <v>679</v>
      </c>
    </row>
    <row r="7" spans="1:7" x14ac:dyDescent="0.25">
      <c r="A7" t="s">
        <v>680</v>
      </c>
      <c r="B7" s="32">
        <v>1</v>
      </c>
      <c r="G7" s="33" t="s">
        <v>130</v>
      </c>
    </row>
    <row r="8" spans="1:7" x14ac:dyDescent="0.25">
      <c r="A8" t="s">
        <v>681</v>
      </c>
      <c r="B8" s="32">
        <v>3</v>
      </c>
      <c r="G8" s="33" t="s">
        <v>682</v>
      </c>
    </row>
    <row r="9" spans="1:7" x14ac:dyDescent="0.25">
      <c r="A9" t="s">
        <v>683</v>
      </c>
      <c r="B9" s="32">
        <f>'14_Radiance(팀)'!F92/B6*'1_입력값'!D6</f>
      </c>
      <c r="G9" s="33" t="s">
        <v>684</v>
      </c>
    </row>
    <row r="10" spans="1:7" x14ac:dyDescent="0.25">
      <c r="A10" t="s">
        <v>685</v>
      </c>
      <c r="B10" s="32">
        <v>1</v>
      </c>
      <c r="G10" s="33" t="s">
        <v>686</v>
      </c>
    </row>
    <row r="11" spans="1:7" x14ac:dyDescent="0.25">
      <c r="A11" t="s">
        <v>687</v>
      </c>
      <c r="B11" s="32">
        <f>'14_Radiance(팀)'!H93</f>
      </c>
      <c r="G11" s="33" t="s">
        <v>688</v>
      </c>
    </row>
    <row r="12" spans="1:7" x14ac:dyDescent="0.25">
      <c r="A12" t="s">
        <v>689</v>
      </c>
      <c r="B12" s="32">
        <v>0.56</v>
      </c>
      <c r="G12" t="s">
        <v>690</v>
      </c>
    </row>
    <row r="13" spans="1:1" x14ac:dyDescent="0.25">
      <c r="A13" s="30" t="s">
        <v>691</v>
      </c>
    </row>
    <row r="14" spans="1:7" x14ac:dyDescent="0.25">
      <c r="A14" s="18" t="s">
        <v>39</v>
      </c>
      <c r="B14" s="18" t="s">
        <v>692</v>
      </c>
      <c r="C14" s="18" t="s">
        <v>693</v>
      </c>
      <c r="D14" s="18" t="s">
        <v>694</v>
      </c>
      <c r="E14" s="18" t="s">
        <v>695</v>
      </c>
      <c r="F14" s="18" t="s">
        <v>1</v>
      </c>
      <c r="G14" s="18" t="s">
        <v>696</v>
      </c>
    </row>
    <row r="15" spans="1:7" x14ac:dyDescent="0.25">
      <c r="A15" t="s">
        <v>332</v>
      </c>
      <c r="B15" s="34">
        <v>1</v>
      </c>
      <c r="C15" s="34">
        <f>'14_Radiance(팀)'!E24/'14_Radiance(팀)'!D24</f>
      </c>
      <c r="D15" s="34">
        <f>'14_Radiance(팀)'!G24/'14_Radiance(팀)'!D24</f>
      </c>
      <c r="E15" s="34">
        <f>D15</f>
      </c>
      <c r="F15" t="s">
        <v>1</v>
      </c>
      <c r="G15" t="s">
        <v>1</v>
      </c>
    </row>
    <row r="16" spans="1:7" x14ac:dyDescent="0.25">
      <c r="A16" t="s">
        <v>348</v>
      </c>
      <c r="B16" s="34">
        <v>1</v>
      </c>
      <c r="C16" s="34">
        <f>'14_Radiance(팀)'!E25/'14_Radiance(팀)'!D25</f>
      </c>
      <c r="D16" s="34">
        <f>'14_Radiance(팀)'!G25/'14_Radiance(팀)'!D25</f>
      </c>
      <c r="E16" s="34">
        <f>D16</f>
      </c>
      <c r="F16" t="s">
        <v>1</v>
      </c>
      <c r="G16" t="s">
        <v>697</v>
      </c>
    </row>
    <row r="17" spans="1:7" x14ac:dyDescent="0.25">
      <c r="A17" t="s">
        <v>358</v>
      </c>
      <c r="B17" s="34">
        <v>1</v>
      </c>
      <c r="C17" s="34">
        <f>'14_Radiance(팀)'!E26/'14_Radiance(팀)'!D26</f>
      </c>
      <c r="D17" s="34">
        <f>'14_Radiance(팀)'!G26/'14_Radiance(팀)'!D26</f>
      </c>
      <c r="E17" s="34">
        <f>D17</f>
      </c>
      <c r="F17" t="s">
        <v>1</v>
      </c>
      <c r="G17" t="s">
        <v>1</v>
      </c>
    </row>
    <row r="18" spans="1:7" x14ac:dyDescent="0.25">
      <c r="A18" t="s">
        <v>366</v>
      </c>
      <c r="B18" s="34">
        <v>1</v>
      </c>
      <c r="C18" s="34">
        <f>'14_Radiance(팀)'!E27/'14_Radiance(팀)'!D27</f>
      </c>
      <c r="D18" s="34">
        <f>'14_Radiance(팀)'!G27/'14_Radiance(팀)'!D27</f>
      </c>
      <c r="E18" s="34">
        <f>IF(B10=1,B11,D18)</f>
      </c>
      <c r="F18" t="s">
        <v>1</v>
      </c>
      <c r="G18" t="s">
        <v>698</v>
      </c>
    </row>
    <row r="19" ht="30" customHeight="1" spans="1:7" x14ac:dyDescent="0.25">
      <c r="A19" s="31" t="s">
        <v>699</v>
      </c>
      <c r="B19" s="31"/>
      <c r="C19" s="31"/>
      <c r="D19" s="31"/>
      <c r="E19" s="31"/>
      <c r="F19" s="31"/>
      <c r="G19" s="31"/>
    </row>
    <row r="21" spans="1:1" x14ac:dyDescent="0.25">
      <c r="A21" s="30" t="s">
        <v>700</v>
      </c>
    </row>
    <row r="22" spans="1:7" x14ac:dyDescent="0.25">
      <c r="A22" s="18" t="s">
        <v>196</v>
      </c>
      <c r="B22" s="18" t="s">
        <v>550</v>
      </c>
      <c r="C22" s="18" t="s">
        <v>478</v>
      </c>
      <c r="D22" s="18" t="s">
        <v>479</v>
      </c>
      <c r="E22" s="18" t="s">
        <v>480</v>
      </c>
      <c r="F22" s="18" t="s">
        <v>1</v>
      </c>
      <c r="G22" s="18" t="s">
        <v>701</v>
      </c>
    </row>
    <row r="23" spans="1:7" x14ac:dyDescent="0.25">
      <c r="A23" t="s">
        <v>702</v>
      </c>
      <c r="B23" s="34">
        <v>1</v>
      </c>
      <c r="C23" s="34">
        <v>1</v>
      </c>
      <c r="D23" s="34">
        <f>'14_Radiance(팀)'!G93</f>
      </c>
      <c r="E23" s="34">
        <f>IF(B10=1,'14_Radiance(팀)'!H93,'14_Radiance(팀)'!I93)</f>
      </c>
      <c r="G23" t="s">
        <v>703</v>
      </c>
    </row>
    <row r="24" spans="1:7" x14ac:dyDescent="0.25">
      <c r="A24" t="s">
        <v>704</v>
      </c>
      <c r="B24" s="35">
        <f>$B$9*B23*$B$6*$B$7*$B$12/1000</f>
      </c>
      <c r="C24" s="35">
        <f>$B$9*C23*$B$6*$B$7*$B$12/1000</f>
      </c>
      <c r="D24" s="35">
        <f>$B$9*D23*$B$6*$B$7*$B$12/1000</f>
      </c>
      <c r="E24" s="35">
        <f>$B$9*E23*$B$6*$B$7*$B$12/1000</f>
      </c>
      <c r="G24" t="s">
        <v>705</v>
      </c>
    </row>
    <row r="25" spans="1:7" x14ac:dyDescent="0.25">
      <c r="A25" t="s">
        <v>706</v>
      </c>
      <c r="B25" s="35">
        <f>($B$24-B24)/$B$8</f>
      </c>
      <c r="C25" s="35">
        <f>($B$24-C24)/$B$8</f>
      </c>
      <c r="D25" s="35">
        <f>($B$24-D24)/$B$8</f>
      </c>
      <c r="E25" s="35">
        <f>($B$24-E24)/$B$8</f>
      </c>
      <c r="G25" t="s">
        <v>707</v>
      </c>
    </row>
    <row r="27" spans="1:1" x14ac:dyDescent="0.25">
      <c r="A27" s="30" t="s">
        <v>708</v>
      </c>
    </row>
    <row r="28" spans="1:7" x14ac:dyDescent="0.25">
      <c r="A28" s="18" t="s">
        <v>196</v>
      </c>
      <c r="B28" s="18" t="s">
        <v>550</v>
      </c>
      <c r="C28" s="18" t="s">
        <v>478</v>
      </c>
      <c r="D28" s="18" t="s">
        <v>479</v>
      </c>
      <c r="E28" s="18" t="s">
        <v>480</v>
      </c>
      <c r="F28" s="18" t="s">
        <v>1</v>
      </c>
      <c r="G28" s="18" t="s">
        <v>701</v>
      </c>
    </row>
    <row r="29" spans="1:7" x14ac:dyDescent="0.25">
      <c r="A29" t="s">
        <v>709</v>
      </c>
      <c r="B29" s="35">
        <f>('8_시공전후'!$C$7-'8_시공전후'!C7)/1000</f>
      </c>
      <c r="C29" s="35">
        <f>('8_시공전후'!$C$7-'8_시공전후'!D7)/1000</f>
      </c>
      <c r="D29" s="35">
        <f>('8_시공전후'!$C$7-'8_시공전후'!E7)/1000</f>
      </c>
      <c r="E29" s="35">
        <f>('8_시공전후'!$C$7-'8_시공전후'!F7)/1000</f>
      </c>
      <c r="G29" t="s">
        <v>710</v>
      </c>
    </row>
    <row r="30" spans="1:7" x14ac:dyDescent="0.25">
      <c r="A30" t="s">
        <v>711</v>
      </c>
      <c r="B30" s="35">
        <f>('8_시공전후'!C9-'8_시공전후'!$C$9)/1000</f>
      </c>
      <c r="C30" s="35">
        <f>('8_시공전후'!D9-'8_시공전후'!$C$9)/1000</f>
      </c>
      <c r="D30" s="35">
        <f>('8_시공전후'!E9-'8_시공전후'!$C$9)/1000</f>
      </c>
      <c r="E30" s="35">
        <f>('8_시공전후'!F9-'8_시공전후'!$C$9)/1000</f>
      </c>
      <c r="G30" t="s">
        <v>712</v>
      </c>
    </row>
    <row r="31" spans="1:7" x14ac:dyDescent="0.25">
      <c r="A31" t="s">
        <v>706</v>
      </c>
      <c r="B31" s="35">
        <f>B25</f>
      </c>
      <c r="C31" s="35">
        <f>C25</f>
      </c>
      <c r="D31" s="35">
        <f>D25</f>
      </c>
      <c r="E31" s="35">
        <f>E25</f>
      </c>
      <c r="G31" t="s">
        <v>713</v>
      </c>
    </row>
    <row r="32" spans="1:7" s="1" customFormat="1" x14ac:dyDescent="0.25">
      <c r="A32" s="1" t="s">
        <v>714</v>
      </c>
      <c r="B32" s="36">
        <f>B29-B30-B31</f>
      </c>
      <c r="C32" s="36">
        <f>C29-C30-C31</f>
      </c>
      <c r="D32" s="36">
        <f>D29-D30-D31</f>
      </c>
      <c r="E32" s="36">
        <f>E29-E30-E31</f>
      </c>
      <c r="G32" s="1" t="s">
        <v>715</v>
      </c>
    </row>
    <row r="33" spans="1:7" s="1" customFormat="1" x14ac:dyDescent="0.25">
      <c r="A33" s="1" t="s">
        <v>716</v>
      </c>
      <c r="B33" s="36">
        <f>B32*$B$5</f>
      </c>
      <c r="C33" s="36">
        <f>C32*$B$5</f>
      </c>
      <c r="D33" s="36">
        <f>D32*$B$5</f>
      </c>
      <c r="E33" s="36">
        <f>E32*$B$5</f>
      </c>
      <c r="G33" s="1" t="s">
        <v>717</v>
      </c>
    </row>
    <row r="34" spans="1:7" x14ac:dyDescent="0.25">
      <c r="A34" t="s">
        <v>718</v>
      </c>
      <c r="B34" s="37">
        <f>B33*'1_입력값'!$D$17</f>
      </c>
      <c r="C34" s="37">
        <f>C33*'1_입력값'!$D$17</f>
      </c>
      <c r="D34" s="37">
        <f>D33*'1_입력값'!$D$17</f>
      </c>
      <c r="E34" s="37">
        <f>E33*'1_입력값'!$D$17</f>
      </c>
      <c r="G34" t="s">
        <v>719</v>
      </c>
    </row>
    <row r="35" spans="1:7" x14ac:dyDescent="0.25">
      <c r="A35" t="s">
        <v>720</v>
      </c>
      <c r="B35" s="37">
        <f>0</f>
      </c>
      <c r="C35" s="37">
        <f>IF(C34&lt;=0,"—",'7_공사비'!C14/C34/10000)</f>
      </c>
      <c r="D35" s="37">
        <f>IF(D34&lt;=0,"—",'7_공사비'!D14/D34/10000)</f>
      </c>
      <c r="E35" s="37">
        <f>IF(E34&lt;=0,"—",'7_공사비'!E14/E34/10000)</f>
      </c>
      <c r="G35" t="s">
        <v>721</v>
      </c>
    </row>
    <row r="37" ht="30" customHeight="1" spans="1:7" x14ac:dyDescent="0.25">
      <c r="A37" s="31" t="s">
        <v>722</v>
      </c>
      <c r="B37" s="31"/>
      <c r="C37" s="31"/>
      <c r="D37" s="31"/>
      <c r="E37" s="31"/>
      <c r="F37" s="31"/>
      <c r="G37" s="31"/>
    </row>
  </sheetData>
  <mergeCells count="3">
    <mergeCell ref="A2:G2"/>
    <mergeCell ref="A19:G19"/>
    <mergeCell ref="A37:G3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1"/>
  <sheetFormatPr defaultRowHeight="15" outlineLevelRow="0" outlineLevelCol="0" x14ac:dyDescent="55"/>
  <cols>
    <col min="1" max="1" width="14" customWidth="1"/>
    <col min="2" max="2" width="10" customWidth="1"/>
    <col min="3" max="3" width="13" customWidth="1"/>
    <col min="4" max="8" width="14" customWidth="1"/>
    <col min="9" max="9" width="46" customWidth="1"/>
    <col min="10" max="10" width="16" customWidth="1"/>
    <col min="11" max="11" width="18" customWidth="1"/>
  </cols>
  <sheetData>
    <row r="1" spans="1:1" x14ac:dyDescent="0.25">
      <c r="A1" s="30" t="s">
        <v>723</v>
      </c>
    </row>
    <row r="2" ht="30" customHeight="1" spans="1:9" x14ac:dyDescent="0.25">
      <c r="A2" s="31" t="s">
        <v>724</v>
      </c>
      <c r="B2" s="31"/>
      <c r="C2" s="31"/>
      <c r="D2" s="31"/>
      <c r="E2" s="31"/>
      <c r="F2" s="31"/>
      <c r="G2" s="31"/>
      <c r="H2" s="31"/>
      <c r="I2" s="31"/>
    </row>
    <row r="4" spans="1:9" x14ac:dyDescent="0.25">
      <c r="A4" s="18" t="s">
        <v>39</v>
      </c>
      <c r="B4" s="18" t="s">
        <v>44</v>
      </c>
      <c r="C4" s="18" t="s">
        <v>725</v>
      </c>
      <c r="D4" s="18" t="s">
        <v>692</v>
      </c>
      <c r="E4" s="18" t="s">
        <v>726</v>
      </c>
      <c r="F4" s="18" t="s">
        <v>727</v>
      </c>
      <c r="G4" s="18" t="s">
        <v>480</v>
      </c>
      <c r="H4" s="18" t="s">
        <v>728</v>
      </c>
      <c r="I4" s="18" t="s">
        <v>1</v>
      </c>
    </row>
    <row r="5" spans="1:8" x14ac:dyDescent="0.25">
      <c r="A5" t="s">
        <v>332</v>
      </c>
      <c r="B5" t="s">
        <v>729</v>
      </c>
      <c r="C5">
        <v>104.5</v>
      </c>
      <c r="D5">
        <v>1.85</v>
      </c>
      <c r="E5">
        <v>0.926</v>
      </c>
      <c r="F5">
        <v>0.443</v>
      </c>
      <c r="G5">
        <v>0.63</v>
      </c>
      <c r="H5">
        <v>2.911</v>
      </c>
    </row>
    <row r="6" spans="1:8" x14ac:dyDescent="0.25">
      <c r="A6" t="s">
        <v>332</v>
      </c>
      <c r="B6" t="s">
        <v>730</v>
      </c>
      <c r="C6">
        <v>120.6</v>
      </c>
      <c r="D6">
        <v>3.854</v>
      </c>
      <c r="E6">
        <v>2.025</v>
      </c>
      <c r="F6">
        <v>1.629</v>
      </c>
      <c r="G6">
        <v>1.035</v>
      </c>
      <c r="H6">
        <v>4.037</v>
      </c>
    </row>
    <row r="7" spans="1:8" x14ac:dyDescent="0.25">
      <c r="A7" t="s">
        <v>332</v>
      </c>
      <c r="B7" t="s">
        <v>731</v>
      </c>
      <c r="C7">
        <v>104.5</v>
      </c>
      <c r="D7">
        <v>2.496</v>
      </c>
      <c r="E7">
        <v>1.383</v>
      </c>
      <c r="F7">
        <v>0.624</v>
      </c>
      <c r="G7">
        <v>0.963</v>
      </c>
      <c r="H7">
        <v>2.517</v>
      </c>
    </row>
    <row r="8" spans="1:8" x14ac:dyDescent="0.25">
      <c r="A8" t="s">
        <v>332</v>
      </c>
      <c r="B8" t="s">
        <v>732</v>
      </c>
      <c r="C8">
        <v>120.6</v>
      </c>
      <c r="D8">
        <v>0.993</v>
      </c>
      <c r="E8">
        <v>0.551</v>
      </c>
      <c r="F8">
        <v>0.352</v>
      </c>
      <c r="G8">
        <v>0.567</v>
      </c>
      <c r="H8">
        <v>0.962</v>
      </c>
    </row>
    <row r="9" spans="1:8" x14ac:dyDescent="0.25">
      <c r="A9" t="s">
        <v>348</v>
      </c>
      <c r="B9" t="s">
        <v>729</v>
      </c>
      <c r="C9">
        <v>104.5</v>
      </c>
      <c r="D9">
        <v>1.714</v>
      </c>
      <c r="E9">
        <v>1.11</v>
      </c>
      <c r="F9">
        <v>0.616</v>
      </c>
      <c r="G9">
        <v>0.562</v>
      </c>
      <c r="H9">
        <v>3.07</v>
      </c>
    </row>
    <row r="10" spans="1:8" x14ac:dyDescent="0.25">
      <c r="A10" t="s">
        <v>348</v>
      </c>
      <c r="B10" t="s">
        <v>730</v>
      </c>
      <c r="C10">
        <v>120.6</v>
      </c>
      <c r="D10">
        <v>1.915</v>
      </c>
      <c r="E10">
        <v>1.113</v>
      </c>
      <c r="F10">
        <v>1.001</v>
      </c>
      <c r="G10">
        <v>0.972</v>
      </c>
      <c r="H10">
        <v>2.093</v>
      </c>
    </row>
    <row r="11" spans="1:8" x14ac:dyDescent="0.25">
      <c r="A11" t="s">
        <v>348</v>
      </c>
      <c r="B11" t="s">
        <v>731</v>
      </c>
      <c r="C11">
        <v>104.5</v>
      </c>
      <c r="D11">
        <v>2.946</v>
      </c>
      <c r="E11">
        <v>2.145</v>
      </c>
      <c r="F11">
        <v>1.194</v>
      </c>
      <c r="G11">
        <v>0.892</v>
      </c>
      <c r="H11">
        <v>2.98</v>
      </c>
    </row>
    <row r="12" spans="1:8" x14ac:dyDescent="0.25">
      <c r="A12" t="s">
        <v>348</v>
      </c>
      <c r="B12" t="s">
        <v>732</v>
      </c>
      <c r="C12">
        <v>120.6</v>
      </c>
      <c r="D12">
        <v>0.96</v>
      </c>
      <c r="E12">
        <v>0.425</v>
      </c>
      <c r="F12">
        <v>0.317</v>
      </c>
      <c r="G12">
        <v>0.427</v>
      </c>
      <c r="H12">
        <v>1.724</v>
      </c>
    </row>
    <row r="13" spans="1:8" x14ac:dyDescent="0.25">
      <c r="A13" t="s">
        <v>358</v>
      </c>
      <c r="B13" t="s">
        <v>729</v>
      </c>
      <c r="C13">
        <v>104.5</v>
      </c>
      <c r="D13">
        <v>2.014</v>
      </c>
      <c r="E13">
        <v>1.031</v>
      </c>
      <c r="F13">
        <v>0.495</v>
      </c>
      <c r="G13">
        <v>0.58</v>
      </c>
      <c r="H13">
        <v>2.87</v>
      </c>
    </row>
    <row r="14" spans="1:8" x14ac:dyDescent="0.25">
      <c r="A14" t="s">
        <v>358</v>
      </c>
      <c r="B14" t="s">
        <v>730</v>
      </c>
      <c r="C14">
        <v>120.6</v>
      </c>
      <c r="D14">
        <v>3.492</v>
      </c>
      <c r="E14">
        <v>1.843</v>
      </c>
      <c r="F14">
        <v>1.451</v>
      </c>
      <c r="G14">
        <v>0.867</v>
      </c>
      <c r="H14">
        <v>3.666</v>
      </c>
    </row>
    <row r="15" spans="1:8" x14ac:dyDescent="0.25">
      <c r="A15" t="s">
        <v>358</v>
      </c>
      <c r="B15" t="s">
        <v>731</v>
      </c>
      <c r="C15">
        <v>104.5</v>
      </c>
      <c r="D15">
        <v>2.3</v>
      </c>
      <c r="E15">
        <v>1.316</v>
      </c>
      <c r="F15">
        <v>0.618</v>
      </c>
      <c r="G15">
        <v>0.664</v>
      </c>
      <c r="H15">
        <v>2.317</v>
      </c>
    </row>
    <row r="16" spans="1:8" x14ac:dyDescent="0.25">
      <c r="A16" t="s">
        <v>358</v>
      </c>
      <c r="B16" t="s">
        <v>732</v>
      </c>
      <c r="C16">
        <v>120.6</v>
      </c>
      <c r="D16">
        <v>0.914</v>
      </c>
      <c r="E16">
        <v>0.504</v>
      </c>
      <c r="F16">
        <v>0.32</v>
      </c>
      <c r="G16">
        <v>0.504</v>
      </c>
      <c r="H16">
        <v>0.934</v>
      </c>
    </row>
    <row r="17" spans="1:8" x14ac:dyDescent="0.25">
      <c r="A17" t="s">
        <v>366</v>
      </c>
      <c r="B17" t="s">
        <v>729</v>
      </c>
      <c r="C17">
        <v>104.5</v>
      </c>
      <c r="D17">
        <v>1.527</v>
      </c>
      <c r="E17">
        <v>0.444</v>
      </c>
      <c r="F17">
        <v>0.267</v>
      </c>
      <c r="G17">
        <v>0.447</v>
      </c>
      <c r="H17">
        <v>1.702</v>
      </c>
    </row>
    <row r="18" spans="1:8" x14ac:dyDescent="0.25">
      <c r="A18" t="s">
        <v>366</v>
      </c>
      <c r="B18" t="s">
        <v>730</v>
      </c>
      <c r="C18">
        <v>120.6</v>
      </c>
      <c r="D18">
        <v>3.914</v>
      </c>
      <c r="E18">
        <v>2.651</v>
      </c>
      <c r="F18">
        <v>1.589</v>
      </c>
      <c r="G18">
        <v>0.739</v>
      </c>
      <c r="H18">
        <v>4.263</v>
      </c>
    </row>
    <row r="19" spans="1:8" x14ac:dyDescent="0.25">
      <c r="A19" t="s">
        <v>366</v>
      </c>
      <c r="B19" t="s">
        <v>731</v>
      </c>
      <c r="C19">
        <v>104.5</v>
      </c>
      <c r="D19">
        <v>1.377</v>
      </c>
      <c r="E19">
        <v>0.497</v>
      </c>
      <c r="F19">
        <v>0.263</v>
      </c>
      <c r="G19">
        <v>0.491</v>
      </c>
      <c r="H19">
        <v>1.383</v>
      </c>
    </row>
    <row r="20" spans="1:8" x14ac:dyDescent="0.25">
      <c r="A20" t="s">
        <v>366</v>
      </c>
      <c r="B20" t="s">
        <v>732</v>
      </c>
      <c r="C20">
        <v>120.6</v>
      </c>
      <c r="D20">
        <v>0.855</v>
      </c>
      <c r="E20">
        <v>0.525</v>
      </c>
      <c r="F20">
        <v>0.314</v>
      </c>
      <c r="G20">
        <v>0.528</v>
      </c>
      <c r="H20">
        <v>0.532</v>
      </c>
    </row>
    <row r="22" spans="1:1" x14ac:dyDescent="0.25">
      <c r="A22" s="30" t="s">
        <v>733</v>
      </c>
    </row>
    <row r="23" spans="1:9" x14ac:dyDescent="0.25">
      <c r="A23" s="18" t="s">
        <v>39</v>
      </c>
      <c r="B23" s="18" t="s">
        <v>1</v>
      </c>
      <c r="C23" s="18" t="s">
        <v>734</v>
      </c>
      <c r="D23" s="18" t="s">
        <v>692</v>
      </c>
      <c r="E23" s="18" t="s">
        <v>726</v>
      </c>
      <c r="F23" s="18" t="s">
        <v>727</v>
      </c>
      <c r="G23" s="18" t="s">
        <v>480</v>
      </c>
      <c r="H23" s="18" t="s">
        <v>1</v>
      </c>
      <c r="I23" s="18" t="s">
        <v>1</v>
      </c>
    </row>
    <row r="24" spans="1:7" x14ac:dyDescent="0.25">
      <c r="A24" t="s">
        <v>332</v>
      </c>
      <c r="C24">
        <f>C5+C6+C7</f>
      </c>
      <c r="D24" s="38">
        <f>(D5*C5+D6*C6+D7*C7)/C24</f>
      </c>
      <c r="E24" s="38">
        <f>(E5*C5+E6*C6+E7*C7)/C24</f>
      </c>
      <c r="F24" s="38">
        <f>(F5*C5+F6*C6+F7*C7)/C24</f>
      </c>
      <c r="G24" s="38">
        <f>(G5*C5+G6*C6+G7*C7)/C24</f>
      </c>
    </row>
    <row r="25" spans="1:7" x14ac:dyDescent="0.25">
      <c r="A25" t="s">
        <v>348</v>
      </c>
      <c r="C25">
        <f>C9+C10+C11</f>
      </c>
      <c r="D25" s="38">
        <f>(D9*C9+D10*C10+D11*C11)/C25</f>
      </c>
      <c r="E25" s="38">
        <f>(E9*C9+E10*C10+E11*C11)/C25</f>
      </c>
      <c r="F25" s="38">
        <f>(F9*C9+F10*C10+F11*C11)/C25</f>
      </c>
      <c r="G25" s="38">
        <f>(G9*C9+G10*C10+G11*C11)/C25</f>
      </c>
    </row>
    <row r="26" spans="1:7" x14ac:dyDescent="0.25">
      <c r="A26" t="s">
        <v>358</v>
      </c>
      <c r="C26">
        <f>C13+C14+C15</f>
      </c>
      <c r="D26" s="38">
        <f>(D13*C13+D14*C14+D15*C15)/C26</f>
      </c>
      <c r="E26" s="38">
        <f>(E13*C13+E14*C14+E15*C15)/C26</f>
      </c>
      <c r="F26" s="38">
        <f>(F13*C13+F14*C14+F15*C15)/C26</f>
      </c>
      <c r="G26" s="38">
        <f>(G13*C13+G14*C14+G15*C15)/C26</f>
      </c>
    </row>
    <row r="27" spans="1:7" x14ac:dyDescent="0.25">
      <c r="A27" t="s">
        <v>366</v>
      </c>
      <c r="C27">
        <f>C17+C18+C19</f>
      </c>
      <c r="D27" s="38">
        <f>(D17*C17+D18*C18+D19*C19)/C27</f>
      </c>
      <c r="E27" s="38">
        <f>(E17*C17+E18*C18+E19*C19)/C27</f>
      </c>
      <c r="F27" s="38">
        <f>(F17*C17+F18*C18+F19*C19)/C27</f>
      </c>
      <c r="G27" s="38">
        <f>(G17*C17+G18*C18+G19*C19)/C27</f>
      </c>
    </row>
    <row r="29" spans="1:1" x14ac:dyDescent="0.25">
      <c r="A29" s="30" t="s">
        <v>735</v>
      </c>
    </row>
    <row r="30" spans="1:9" x14ac:dyDescent="0.25">
      <c r="A30" s="18" t="s">
        <v>736</v>
      </c>
      <c r="B30" s="18" t="s">
        <v>737</v>
      </c>
      <c r="C30" s="18" t="s">
        <v>1</v>
      </c>
      <c r="D30" s="18" t="s">
        <v>692</v>
      </c>
      <c r="E30" s="18" t="s">
        <v>726</v>
      </c>
      <c r="F30" s="18" t="s">
        <v>727</v>
      </c>
      <c r="G30" s="18" t="s">
        <v>480</v>
      </c>
      <c r="H30" s="18" t="s">
        <v>1</v>
      </c>
      <c r="I30" s="18" t="s">
        <v>738</v>
      </c>
    </row>
    <row r="31" spans="1:9" s="1" customFormat="1" x14ac:dyDescent="0.25">
      <c r="A31" s="1" t="s">
        <v>739</v>
      </c>
      <c r="B31" s="1">
        <v>122</v>
      </c>
      <c r="D31" s="36">
        <f>D25*92+D26*30</f>
      </c>
      <c r="E31" s="36">
        <f>E25*92+E26*30</f>
      </c>
      <c r="F31" s="36">
        <f>F25*92+F26*30</f>
      </c>
      <c r="G31" s="36">
        <f>G25*92+G26*30</f>
      </c>
      <c r="I31" s="1" t="s">
        <v>740</v>
      </c>
    </row>
    <row r="32" spans="1:9" s="1" customFormat="1" x14ac:dyDescent="0.25">
      <c r="A32" s="1" t="s">
        <v>741</v>
      </c>
      <c r="B32" s="1">
        <v>90</v>
      </c>
      <c r="D32" s="36">
        <f>D27*90</f>
      </c>
      <c r="E32" s="36">
        <f>E27*90</f>
      </c>
      <c r="F32" s="36">
        <f>F27*90</f>
      </c>
      <c r="G32" s="36">
        <f>G27*90</f>
      </c>
      <c r="I32" s="1" t="s">
        <v>742</v>
      </c>
    </row>
    <row r="33" spans="1:7" x14ac:dyDescent="0.25">
      <c r="A33" t="s">
        <v>743</v>
      </c>
      <c r="D33" s="34">
        <f>D31/$D31</f>
      </c>
      <c r="E33" s="34">
        <f>E31/$D31</f>
      </c>
      <c r="F33" s="34">
        <f>F31/$D31</f>
      </c>
      <c r="G33" s="34">
        <f>G31/$D31</f>
      </c>
    </row>
    <row r="34" spans="1:7" x14ac:dyDescent="0.25">
      <c r="A34" t="s">
        <v>744</v>
      </c>
      <c r="D34" s="34">
        <f>D32/$D32</f>
      </c>
      <c r="E34" s="34">
        <f>E32/$D32</f>
      </c>
      <c r="F34" s="34">
        <f>F32/$D32</f>
      </c>
      <c r="G34" s="34">
        <f>G32/$D32</f>
      </c>
    </row>
    <row r="36" spans="1:1" x14ac:dyDescent="0.25">
      <c r="A36" s="30" t="s">
        <v>745</v>
      </c>
    </row>
    <row r="37" spans="1:9" x14ac:dyDescent="0.25">
      <c r="A37" s="18" t="s">
        <v>746</v>
      </c>
      <c r="B37" s="18" t="s">
        <v>39</v>
      </c>
      <c r="C37" s="18" t="s">
        <v>1</v>
      </c>
      <c r="D37" s="18" t="s">
        <v>480</v>
      </c>
      <c r="E37" s="18" t="s">
        <v>726</v>
      </c>
      <c r="F37" s="18" t="s">
        <v>727</v>
      </c>
      <c r="G37" s="18" t="s">
        <v>1</v>
      </c>
      <c r="H37" s="18" t="s">
        <v>1</v>
      </c>
      <c r="I37" s="18" t="s">
        <v>1</v>
      </c>
    </row>
    <row r="38" spans="1:6" x14ac:dyDescent="0.25">
      <c r="A38">
        <v>350</v>
      </c>
      <c r="B38" t="s">
        <v>332</v>
      </c>
      <c r="C38" t="s">
        <v>1</v>
      </c>
      <c r="D38">
        <v>68</v>
      </c>
      <c r="E38">
        <v>45</v>
      </c>
      <c r="F38">
        <v>66</v>
      </c>
    </row>
    <row r="39" spans="1:6" x14ac:dyDescent="0.25">
      <c r="A39">
        <v>350</v>
      </c>
      <c r="B39" t="s">
        <v>348</v>
      </c>
      <c r="C39" t="s">
        <v>1</v>
      </c>
      <c r="D39">
        <v>63</v>
      </c>
      <c r="E39">
        <v>36</v>
      </c>
      <c r="F39">
        <v>55</v>
      </c>
    </row>
    <row r="40" spans="1:6" x14ac:dyDescent="0.25">
      <c r="A40">
        <v>350</v>
      </c>
      <c r="B40" t="s">
        <v>358</v>
      </c>
      <c r="C40" t="s">
        <v>1</v>
      </c>
      <c r="D40">
        <v>69</v>
      </c>
      <c r="E40">
        <v>45</v>
      </c>
      <c r="F40">
        <v>66</v>
      </c>
    </row>
    <row r="41" spans="1:6" x14ac:dyDescent="0.25">
      <c r="A41">
        <v>350</v>
      </c>
      <c r="B41" t="s">
        <v>366</v>
      </c>
      <c r="C41" t="s">
        <v>1</v>
      </c>
      <c r="D41">
        <v>73</v>
      </c>
      <c r="E41">
        <v>47</v>
      </c>
      <c r="F41">
        <v>68</v>
      </c>
    </row>
    <row r="42" spans="1:6" x14ac:dyDescent="0.25">
      <c r="A42">
        <v>450</v>
      </c>
      <c r="B42" t="s">
        <v>332</v>
      </c>
      <c r="C42" t="s">
        <v>1</v>
      </c>
      <c r="D42">
        <v>55</v>
      </c>
      <c r="E42">
        <v>37</v>
      </c>
      <c r="F42">
        <v>55</v>
      </c>
    </row>
    <row r="43" spans="1:6" x14ac:dyDescent="0.25">
      <c r="A43">
        <v>450</v>
      </c>
      <c r="B43" t="s">
        <v>348</v>
      </c>
      <c r="C43" t="s">
        <v>1</v>
      </c>
      <c r="D43">
        <v>52</v>
      </c>
      <c r="E43">
        <v>29</v>
      </c>
      <c r="F43">
        <v>46</v>
      </c>
    </row>
    <row r="44" spans="1:6" x14ac:dyDescent="0.25">
      <c r="A44">
        <v>450</v>
      </c>
      <c r="B44" t="s">
        <v>358</v>
      </c>
      <c r="C44" t="s">
        <v>1</v>
      </c>
      <c r="D44">
        <v>58</v>
      </c>
      <c r="E44">
        <v>37</v>
      </c>
      <c r="F44">
        <v>55</v>
      </c>
    </row>
    <row r="45" spans="1:6" x14ac:dyDescent="0.25">
      <c r="A45">
        <v>450</v>
      </c>
      <c r="B45" t="s">
        <v>366</v>
      </c>
      <c r="C45" t="s">
        <v>1</v>
      </c>
      <c r="D45">
        <v>58</v>
      </c>
      <c r="E45">
        <v>38</v>
      </c>
      <c r="F45">
        <v>58</v>
      </c>
    </row>
    <row r="46" spans="1:6" x14ac:dyDescent="0.25">
      <c r="A46">
        <v>550</v>
      </c>
      <c r="B46" t="s">
        <v>332</v>
      </c>
      <c r="C46" t="s">
        <v>1</v>
      </c>
      <c r="D46">
        <v>47</v>
      </c>
      <c r="E46">
        <v>33</v>
      </c>
      <c r="F46">
        <v>47</v>
      </c>
    </row>
    <row r="47" spans="1:6" x14ac:dyDescent="0.25">
      <c r="A47">
        <v>550</v>
      </c>
      <c r="B47" t="s">
        <v>348</v>
      </c>
      <c r="C47" t="s">
        <v>1</v>
      </c>
      <c r="D47">
        <v>43</v>
      </c>
      <c r="E47">
        <v>26</v>
      </c>
      <c r="F47">
        <v>37</v>
      </c>
    </row>
    <row r="48" spans="1:6" x14ac:dyDescent="0.25">
      <c r="A48">
        <v>550</v>
      </c>
      <c r="B48" t="s">
        <v>358</v>
      </c>
      <c r="C48" t="s">
        <v>1</v>
      </c>
      <c r="D48">
        <v>49</v>
      </c>
      <c r="E48">
        <v>33</v>
      </c>
      <c r="F48">
        <v>47</v>
      </c>
    </row>
    <row r="49" spans="1:6" x14ac:dyDescent="0.25">
      <c r="A49">
        <v>550</v>
      </c>
      <c r="B49" t="s">
        <v>366</v>
      </c>
      <c r="C49" t="s">
        <v>1</v>
      </c>
      <c r="D49">
        <v>48</v>
      </c>
      <c r="E49">
        <v>33</v>
      </c>
      <c r="F49">
        <v>49</v>
      </c>
    </row>
    <row r="51" ht="30" customHeight="1" spans="1:9" x14ac:dyDescent="0.25">
      <c r="A51" s="31" t="s">
        <v>747</v>
      </c>
      <c r="B51" s="31"/>
      <c r="C51" s="31"/>
      <c r="D51" s="31"/>
      <c r="E51" s="31"/>
      <c r="F51" s="31"/>
      <c r="G51" s="31"/>
      <c r="H51" s="31"/>
      <c r="I51" s="31"/>
    </row>
    <row r="54" spans="1:1" x14ac:dyDescent="0.25">
      <c r="A54" s="30" t="s">
        <v>748</v>
      </c>
    </row>
    <row r="55" ht="30" customHeight="1" spans="1:9" x14ac:dyDescent="0.25">
      <c r="A55" t="s">
        <v>749</v>
      </c>
      <c r="B55"/>
      <c r="C55"/>
      <c r="D55"/>
      <c r="E55"/>
      <c r="F55"/>
      <c r="G55"/>
      <c r="H55"/>
      <c r="I55"/>
    </row>
    <row r="56" spans="1:11" x14ac:dyDescent="0.25">
      <c r="A56" s="18" t="s">
        <v>44</v>
      </c>
      <c r="B56" s="18" t="s">
        <v>725</v>
      </c>
      <c r="C56" s="18" t="s">
        <v>750</v>
      </c>
      <c r="D56" s="18" t="s">
        <v>751</v>
      </c>
      <c r="E56" s="18" t="s">
        <v>752</v>
      </c>
      <c r="F56" s="18" t="s">
        <v>753</v>
      </c>
      <c r="G56" s="18" t="s">
        <v>754</v>
      </c>
      <c r="H56" s="18" t="s">
        <v>755</v>
      </c>
      <c r="I56" s="18" t="s">
        <v>756</v>
      </c>
      <c r="J56" s="18" t="s">
        <v>757</v>
      </c>
      <c r="K56" s="18" t="s">
        <v>758</v>
      </c>
    </row>
    <row r="57" spans="1:11" x14ac:dyDescent="0.25">
      <c r="A57" t="s">
        <v>729</v>
      </c>
      <c r="B57">
        <f>C9</f>
      </c>
      <c r="C57">
        <v>192.5</v>
      </c>
      <c r="D57">
        <v>109.3</v>
      </c>
      <c r="E57">
        <v>65.1</v>
      </c>
      <c r="F57">
        <v>161.9</v>
      </c>
      <c r="G57">
        <v>60.1</v>
      </c>
      <c r="H57">
        <v>52.8</v>
      </c>
      <c r="I57">
        <v>60.1</v>
      </c>
      <c r="J57" t="s">
        <v>759</v>
      </c>
      <c r="K57" t="s">
        <v>760</v>
      </c>
    </row>
    <row r="58" spans="1:11" x14ac:dyDescent="0.25">
      <c r="A58" t="s">
        <v>730</v>
      </c>
      <c r="B58">
        <f>C10</f>
      </c>
      <c r="C58">
        <v>276.7</v>
      </c>
      <c r="D58">
        <v>143.4</v>
      </c>
      <c r="E58">
        <v>96.7</v>
      </c>
      <c r="F58">
        <v>368.8</v>
      </c>
      <c r="G58">
        <v>229.3</v>
      </c>
      <c r="H58">
        <v>82.5</v>
      </c>
      <c r="I58">
        <v>229.3</v>
      </c>
      <c r="J58" t="s">
        <v>761</v>
      </c>
      <c r="K58" t="s">
        <v>762</v>
      </c>
    </row>
    <row r="59" spans="1:11" x14ac:dyDescent="0.25">
      <c r="A59" t="s">
        <v>731</v>
      </c>
      <c r="B59">
        <f>C11</f>
      </c>
      <c r="C59">
        <v>300.5</v>
      </c>
      <c r="D59">
        <v>204</v>
      </c>
      <c r="E59">
        <v>91.4</v>
      </c>
      <c r="F59">
        <v>140.6</v>
      </c>
      <c r="G59">
        <v>55.6</v>
      </c>
      <c r="H59">
        <v>54.5</v>
      </c>
      <c r="I59">
        <v>55.6</v>
      </c>
      <c r="J59" t="s">
        <v>763</v>
      </c>
      <c r="K59" t="s">
        <v>764</v>
      </c>
    </row>
    <row r="60" spans="1:11" x14ac:dyDescent="0.25">
      <c r="A60" t="s">
        <v>732</v>
      </c>
      <c r="B60">
        <f>C12</f>
      </c>
      <c r="C60">
        <v>103.1</v>
      </c>
      <c r="D60">
        <v>49.2</v>
      </c>
      <c r="E60">
        <v>49.2</v>
      </c>
      <c r="F60">
        <v>80.6</v>
      </c>
      <c r="G60">
        <v>49</v>
      </c>
      <c r="H60">
        <v>49</v>
      </c>
      <c r="I60">
        <v>49</v>
      </c>
      <c r="J60" t="s">
        <v>765</v>
      </c>
      <c r="K60" t="s">
        <v>765</v>
      </c>
    </row>
    <row r="61" spans="1:11" s="1" customFormat="1" x14ac:dyDescent="0.25">
      <c r="A61" s="1" t="s">
        <v>766</v>
      </c>
      <c r="B61" s="1">
        <f>B57+B58+B59</f>
      </c>
      <c r="C61" s="36">
        <f>(C57*B57+C58*B58+C59*B59)/B61</f>
      </c>
      <c r="D61" s="36">
        <f>(D57*B57+D58*B58+D59*B59)/B61</f>
      </c>
      <c r="E61" s="36">
        <f>(E57*B57+E58*B58+E59*B59)/B61</f>
      </c>
      <c r="F61" s="36">
        <f>(F57*B57+F58*B58+F59*B59)/B61</f>
      </c>
      <c r="G61" s="36">
        <f>(G57*B57+G58*B58+G59*B59)/B61</f>
      </c>
      <c r="H61" s="36">
        <f>(H57*B57+H58*B58+H59*B59)/B61</f>
      </c>
      <c r="I61" s="36">
        <f>(I57*B57+I58*B58+I59*B59)/B61</f>
      </c>
      <c r="J61" s="1"/>
      <c r="K61" s="1"/>
    </row>
    <row r="62" spans="1:11" s="1" customFormat="1" x14ac:dyDescent="0.25">
      <c r="A62" s="1" t="s">
        <v>767</v>
      </c>
      <c r="B62" s="1"/>
      <c r="C62" s="39">
        <f>C61/$C61</f>
      </c>
      <c r="D62" s="39">
        <f>D61/$C61</f>
      </c>
      <c r="E62" s="39">
        <f>E61/$C61</f>
      </c>
      <c r="F62" s="39">
        <f>F61/$F61</f>
      </c>
      <c r="G62" s="39">
        <f>G61/$F61</f>
      </c>
      <c r="H62" s="39">
        <f>H61/$F61</f>
      </c>
      <c r="I62" s="39">
        <f>I61/$F61</f>
      </c>
      <c r="J62" s="1"/>
      <c r="K62" s="1"/>
    </row>
    <row r="63" ht="30" customHeight="1" spans="1:9" x14ac:dyDescent="0.25">
      <c r="A63" s="31" t="s">
        <v>768</v>
      </c>
      <c r="B63" s="31"/>
      <c r="C63" s="31"/>
      <c r="D63" s="31"/>
      <c r="E63" s="31"/>
      <c r="F63" s="31"/>
      <c r="G63" s="31"/>
      <c r="H63" s="31"/>
      <c r="I63" s="31"/>
    </row>
    <row r="66" spans="1:11" x14ac:dyDescent="0.25">
      <c r="A66" s="30" t="s">
        <v>769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</row>
    <row r="67" spans="1:11" x14ac:dyDescent="0.25">
      <c r="A67" t="s">
        <v>770</v>
      </c>
      <c r="B67"/>
      <c r="C67"/>
      <c r="D67"/>
      <c r="E67"/>
      <c r="F67"/>
      <c r="G67"/>
      <c r="H67"/>
      <c r="I67"/>
      <c r="J67"/>
      <c r="K67"/>
    </row>
    <row r="68" spans="1:11" x14ac:dyDescent="0.25">
      <c r="A68" s="18" t="s">
        <v>771</v>
      </c>
      <c r="B68" s="18" t="s">
        <v>44</v>
      </c>
      <c r="C68" s="18" t="s">
        <v>750</v>
      </c>
      <c r="D68" s="18" t="s">
        <v>751</v>
      </c>
      <c r="E68" s="18" t="s">
        <v>752</v>
      </c>
      <c r="F68" s="18" t="s">
        <v>753</v>
      </c>
      <c r="G68" s="18" t="s">
        <v>754</v>
      </c>
      <c r="H68" s="18" t="s">
        <v>772</v>
      </c>
      <c r="I68" s="18" t="s">
        <v>755</v>
      </c>
      <c r="J68" s="18" t="s">
        <v>773</v>
      </c>
      <c r="K68" s="18" t="s">
        <v>774</v>
      </c>
    </row>
    <row r="69" spans="1:11" x14ac:dyDescent="0.25">
      <c r="A69">
        <v>3</v>
      </c>
      <c r="B69" t="s">
        <v>729</v>
      </c>
      <c r="C69">
        <v>172</v>
      </c>
      <c r="D69">
        <v>93.8</v>
      </c>
      <c r="E69">
        <v>63.2</v>
      </c>
      <c r="F69">
        <v>228.5</v>
      </c>
      <c r="G69">
        <v>85.8</v>
      </c>
      <c r="H69">
        <v>161.4</v>
      </c>
      <c r="I69">
        <v>85.8</v>
      </c>
      <c r="J69">
        <v>243</v>
      </c>
      <c r="K69">
        <v>3.5</v>
      </c>
    </row>
    <row r="70" spans="1:11" x14ac:dyDescent="0.25">
      <c r="A70">
        <v>3</v>
      </c>
      <c r="B70" t="s">
        <v>730</v>
      </c>
      <c r="C70">
        <v>238.8</v>
      </c>
      <c r="D70">
        <v>118.2</v>
      </c>
      <c r="E70">
        <v>75</v>
      </c>
      <c r="F70">
        <v>500.4</v>
      </c>
      <c r="G70">
        <v>300.6</v>
      </c>
      <c r="H70">
        <v>427.8</v>
      </c>
      <c r="I70">
        <v>102.5</v>
      </c>
      <c r="J70">
        <v>396</v>
      </c>
      <c r="K70">
        <v>3.5</v>
      </c>
    </row>
    <row r="71" spans="1:11" x14ac:dyDescent="0.25">
      <c r="A71">
        <v>3</v>
      </c>
      <c r="B71" t="s">
        <v>731</v>
      </c>
      <c r="C71">
        <v>298.9</v>
      </c>
      <c r="D71">
        <v>203.3</v>
      </c>
      <c r="E71">
        <v>92.8</v>
      </c>
      <c r="F71">
        <v>258.4</v>
      </c>
      <c r="G71">
        <v>112.7</v>
      </c>
      <c r="H71">
        <v>171.1</v>
      </c>
      <c r="I71">
        <v>96.1</v>
      </c>
      <c r="J71">
        <v>641</v>
      </c>
      <c r="K71">
        <v>3.5</v>
      </c>
    </row>
    <row r="72" spans="1:11" x14ac:dyDescent="0.25">
      <c r="A72">
        <v>5</v>
      </c>
      <c r="B72" t="s">
        <v>729</v>
      </c>
      <c r="C72">
        <v>178.6</v>
      </c>
      <c r="D72">
        <v>99.3</v>
      </c>
      <c r="E72">
        <v>64.5</v>
      </c>
      <c r="F72">
        <v>250.4</v>
      </c>
      <c r="G72">
        <v>99.1</v>
      </c>
      <c r="H72">
        <v>175.8</v>
      </c>
      <c r="I72">
        <v>88.9</v>
      </c>
      <c r="J72">
        <v>274</v>
      </c>
      <c r="K72">
        <v>3</v>
      </c>
    </row>
    <row r="73" spans="1:11" x14ac:dyDescent="0.25">
      <c r="A73">
        <v>5</v>
      </c>
      <c r="B73" t="s">
        <v>730</v>
      </c>
      <c r="C73">
        <v>256.4</v>
      </c>
      <c r="D73">
        <v>130.9</v>
      </c>
      <c r="E73">
        <v>85.7</v>
      </c>
      <c r="F73">
        <v>577.4</v>
      </c>
      <c r="G73">
        <v>350</v>
      </c>
      <c r="H73">
        <v>488.2</v>
      </c>
      <c r="I73">
        <v>125.1</v>
      </c>
      <c r="J73">
        <v>396</v>
      </c>
      <c r="K73">
        <v>3</v>
      </c>
    </row>
    <row r="74" spans="1:11" x14ac:dyDescent="0.25">
      <c r="A74">
        <v>5</v>
      </c>
      <c r="B74" t="s">
        <v>731</v>
      </c>
      <c r="C74">
        <v>299.2</v>
      </c>
      <c r="D74">
        <v>202.1</v>
      </c>
      <c r="E74">
        <v>91.7</v>
      </c>
      <c r="F74">
        <v>259</v>
      </c>
      <c r="G74">
        <v>114</v>
      </c>
      <c r="H74">
        <v>171.3</v>
      </c>
      <c r="I74">
        <v>97.9</v>
      </c>
      <c r="J74">
        <v>641</v>
      </c>
      <c r="K74">
        <v>3</v>
      </c>
    </row>
    <row r="75" spans="1:11" x14ac:dyDescent="0.25">
      <c r="A75">
        <v>9</v>
      </c>
      <c r="B75" t="s">
        <v>729</v>
      </c>
      <c r="C75">
        <v>192.8</v>
      </c>
      <c r="D75">
        <v>109</v>
      </c>
      <c r="E75">
        <v>65.8</v>
      </c>
      <c r="F75">
        <v>274.9</v>
      </c>
      <c r="G75">
        <v>107.9</v>
      </c>
      <c r="H75">
        <v>185.8</v>
      </c>
      <c r="I75">
        <v>97.5</v>
      </c>
      <c r="J75">
        <v>305</v>
      </c>
      <c r="K75">
        <v>5</v>
      </c>
    </row>
    <row r="76" spans="1:11" x14ac:dyDescent="0.25">
      <c r="A76">
        <v>9</v>
      </c>
      <c r="B76" t="s">
        <v>730</v>
      </c>
      <c r="C76">
        <v>277</v>
      </c>
      <c r="D76">
        <v>143.6</v>
      </c>
      <c r="E76">
        <v>95.8</v>
      </c>
      <c r="F76">
        <v>605.9</v>
      </c>
      <c r="G76">
        <v>366.5</v>
      </c>
      <c r="H76">
        <v>503.5</v>
      </c>
      <c r="I76">
        <v>135</v>
      </c>
      <c r="J76">
        <v>396</v>
      </c>
      <c r="K76">
        <v>5</v>
      </c>
    </row>
    <row r="77" spans="1:11" x14ac:dyDescent="0.25">
      <c r="A77">
        <v>9</v>
      </c>
      <c r="B77" t="s">
        <v>731</v>
      </c>
      <c r="C77">
        <v>300.2</v>
      </c>
      <c r="D77">
        <v>203.1</v>
      </c>
      <c r="E77">
        <v>91.8</v>
      </c>
      <c r="F77">
        <v>260.6</v>
      </c>
      <c r="G77">
        <v>114.8</v>
      </c>
      <c r="H77">
        <v>172.5</v>
      </c>
      <c r="I77">
        <v>98.4</v>
      </c>
      <c r="J77">
        <v>641</v>
      </c>
      <c r="K77">
        <v>5</v>
      </c>
    </row>
    <row r="78" spans="1:11" x14ac:dyDescent="0.25">
      <c r="A78">
        <v>15</v>
      </c>
      <c r="B78" t="s">
        <v>729</v>
      </c>
      <c r="C78">
        <v>250.5</v>
      </c>
      <c r="D78">
        <v>159.3</v>
      </c>
      <c r="E78">
        <v>72.5</v>
      </c>
      <c r="F78">
        <v>290.7</v>
      </c>
      <c r="G78">
        <v>118.3</v>
      </c>
      <c r="H78">
        <v>196.2</v>
      </c>
      <c r="I78">
        <v>99.9</v>
      </c>
      <c r="J78">
        <v>488</v>
      </c>
      <c r="K78">
        <v>5.5</v>
      </c>
    </row>
    <row r="79" spans="1:11" x14ac:dyDescent="0.25">
      <c r="A79">
        <v>15</v>
      </c>
      <c r="B79" t="s">
        <v>730</v>
      </c>
      <c r="C79">
        <v>288</v>
      </c>
      <c r="D79">
        <v>148.9</v>
      </c>
      <c r="E79">
        <v>100.1</v>
      </c>
      <c r="F79">
        <v>637.1</v>
      </c>
      <c r="G79">
        <v>376</v>
      </c>
      <c r="H79">
        <v>517.3</v>
      </c>
      <c r="I79">
        <v>141.9</v>
      </c>
      <c r="J79">
        <v>396</v>
      </c>
      <c r="K79">
        <v>5.5</v>
      </c>
    </row>
    <row r="80" spans="1:11" x14ac:dyDescent="0.25">
      <c r="A80">
        <v>15</v>
      </c>
      <c r="B80" t="s">
        <v>731</v>
      </c>
      <c r="C80">
        <v>301.8</v>
      </c>
      <c r="D80">
        <v>204.6</v>
      </c>
      <c r="E80">
        <v>92.9</v>
      </c>
      <c r="F80">
        <v>261.6</v>
      </c>
      <c r="G80">
        <v>116.1</v>
      </c>
      <c r="H80">
        <v>172.8</v>
      </c>
      <c r="I80">
        <v>99.7</v>
      </c>
      <c r="J80">
        <v>641</v>
      </c>
      <c r="K80">
        <v>5.5</v>
      </c>
    </row>
    <row r="81" spans="1:11" x14ac:dyDescent="0.25">
      <c r="A81">
        <v>20</v>
      </c>
      <c r="B81" t="s">
        <v>729</v>
      </c>
      <c r="C81">
        <v>289.1</v>
      </c>
      <c r="D81">
        <v>191.8</v>
      </c>
      <c r="E81">
        <v>80.3</v>
      </c>
      <c r="F81">
        <v>313.9</v>
      </c>
      <c r="G81">
        <v>138.3</v>
      </c>
      <c r="H81">
        <v>214.4</v>
      </c>
      <c r="I81">
        <v>110.6</v>
      </c>
      <c r="J81">
        <v>580</v>
      </c>
      <c r="K81">
        <v>5</v>
      </c>
    </row>
    <row r="82" spans="1:11" x14ac:dyDescent="0.25">
      <c r="A82">
        <v>20</v>
      </c>
      <c r="B82" t="s">
        <v>730</v>
      </c>
      <c r="C82">
        <v>290</v>
      </c>
      <c r="D82">
        <v>151.4</v>
      </c>
      <c r="E82">
        <v>102.9</v>
      </c>
      <c r="F82">
        <v>640.3</v>
      </c>
      <c r="G82">
        <v>379</v>
      </c>
      <c r="H82">
        <v>520</v>
      </c>
      <c r="I82">
        <v>143.4</v>
      </c>
      <c r="J82">
        <v>396</v>
      </c>
      <c r="K82">
        <v>5</v>
      </c>
    </row>
    <row r="83" spans="1:11" x14ac:dyDescent="0.25">
      <c r="A83">
        <v>20</v>
      </c>
      <c r="B83" t="s">
        <v>731</v>
      </c>
      <c r="C83">
        <v>302.2</v>
      </c>
      <c r="D83">
        <v>205.1</v>
      </c>
      <c r="E83">
        <v>93.4</v>
      </c>
      <c r="F83">
        <v>261.9</v>
      </c>
      <c r="G83">
        <v>116.5</v>
      </c>
      <c r="H83">
        <v>173.3</v>
      </c>
      <c r="I83">
        <v>99.8</v>
      </c>
      <c r="J83">
        <v>641</v>
      </c>
      <c r="K83">
        <v>5</v>
      </c>
    </row>
    <row r="84" spans="1:11" x14ac:dyDescent="0.25">
      <c r="A84">
        <v>25</v>
      </c>
      <c r="B84" t="s">
        <v>729</v>
      </c>
      <c r="C84">
        <v>312.3</v>
      </c>
      <c r="D84">
        <v>212.5</v>
      </c>
      <c r="E84">
        <v>88.9</v>
      </c>
      <c r="F84">
        <v>326.4</v>
      </c>
      <c r="G84">
        <v>148.6</v>
      </c>
      <c r="H84">
        <v>223.6</v>
      </c>
      <c r="I84">
        <v>120.2</v>
      </c>
      <c r="J84">
        <v>641</v>
      </c>
      <c r="K84">
        <v>6</v>
      </c>
    </row>
    <row r="85" spans="1:11" x14ac:dyDescent="0.25">
      <c r="A85">
        <v>25</v>
      </c>
      <c r="B85" t="s">
        <v>730</v>
      </c>
      <c r="C85">
        <v>290.9</v>
      </c>
      <c r="D85">
        <v>152.6</v>
      </c>
      <c r="E85">
        <v>102.6</v>
      </c>
      <c r="F85">
        <v>641.5</v>
      </c>
      <c r="G85">
        <v>380.7</v>
      </c>
      <c r="H85">
        <v>520.7</v>
      </c>
      <c r="I85">
        <v>144.6</v>
      </c>
      <c r="J85">
        <v>396</v>
      </c>
      <c r="K85">
        <v>6</v>
      </c>
    </row>
    <row r="86" spans="1:11" x14ac:dyDescent="0.25">
      <c r="A86">
        <v>25</v>
      </c>
      <c r="B86" t="s">
        <v>731</v>
      </c>
      <c r="C86">
        <v>303.1</v>
      </c>
      <c r="D86">
        <v>205.8</v>
      </c>
      <c r="E86">
        <v>92.6</v>
      </c>
      <c r="F86">
        <v>262.4</v>
      </c>
      <c r="G86">
        <v>115.8</v>
      </c>
      <c r="H86">
        <v>173</v>
      </c>
      <c r="I86">
        <v>99.4</v>
      </c>
      <c r="J86">
        <v>641</v>
      </c>
      <c r="K86">
        <v>6</v>
      </c>
    </row>
    <row r="88" spans="1:11" x14ac:dyDescent="0.25">
      <c r="A88" s="18" t="s">
        <v>44</v>
      </c>
      <c r="B88" s="18" t="s">
        <v>775</v>
      </c>
      <c r="C88" s="18" t="s">
        <v>750</v>
      </c>
      <c r="D88" s="18" t="s">
        <v>751</v>
      </c>
      <c r="E88" s="18" t="s">
        <v>752</v>
      </c>
      <c r="F88" s="18" t="s">
        <v>753</v>
      </c>
      <c r="G88" s="18" t="s">
        <v>754</v>
      </c>
      <c r="H88" s="18" t="s">
        <v>772</v>
      </c>
      <c r="I88" s="18" t="s">
        <v>755</v>
      </c>
      <c r="J88" s="18" t="s">
        <v>773</v>
      </c>
      <c r="K88" s="18" t="s">
        <v>1</v>
      </c>
    </row>
    <row r="89" spans="1:10" x14ac:dyDescent="0.25">
      <c r="A89" t="s">
        <v>776</v>
      </c>
      <c r="B89">
        <f>'1_입력값'!D53*'1_입력값'!D57</f>
      </c>
      <c r="C89">
        <f>($K$69*C$69+$K$72*C$72+$K$75*C$75+$K$78*C$78+$K$81*C$81+$K$84*C$84)/28</f>
      </c>
      <c r="D89">
        <f>($K$69*D$69+$K$72*D$72+$K$75*D$75+$K$78*D$78+$K$81*D$81+$K$84*D$84)/28</f>
      </c>
      <c r="E89">
        <f>($K$69*E$69+$K$72*E$72+$K$75*E$75+$K$78*E$78+$K$81*E$81+$K$84*E$84)/28</f>
      </c>
      <c r="F89">
        <f>($K$69*F$69+$K$72*F$72+$K$75*F$75+$K$78*F$78+$K$81*F$81+$K$84*F$84)/28</f>
      </c>
      <c r="G89">
        <f>($K$69*G$69+$K$72*G$72+$K$75*G$75+$K$78*G$78+$K$81*G$81+$K$84*G$84)/28</f>
      </c>
      <c r="H89">
        <f>($K$69*H$69+$K$72*H$72+$K$75*H$75+$K$78*H$78+$K$81*H$81+$K$84*H$84)/28</f>
      </c>
      <c r="I89">
        <f>($K$69*I$69+$K$72*I$72+$K$75*I$75+$K$78*I$78+$K$81*I$81+$K$84*I$84)/28</f>
      </c>
      <c r="J89">
        <f>($K$69*J$69+$K$72*J$72+$K$75*J$75+$K$78*J$78+$K$81*J$81+$K$84*J$84)/28</f>
      </c>
    </row>
    <row r="90" spans="1:10" x14ac:dyDescent="0.25">
      <c r="A90" t="s">
        <v>777</v>
      </c>
      <c r="B90">
        <f>'1_입력값'!D54*'1_입력값'!D58</f>
      </c>
      <c r="C90">
        <f>($K$70*C$70+$K$73*C$73+$K$76*C$76+$K$79*C$79+$K$82*C$82+$K$85*C$85)/28</f>
      </c>
      <c r="D90">
        <f>($K$70*D$70+$K$73*D$73+$K$76*D$76+$K$79*D$79+$K$82*D$82+$K$85*D$85)/28</f>
      </c>
      <c r="E90">
        <f>($K$70*E$70+$K$73*E$73+$K$76*E$76+$K$79*E$79+$K$82*E$82+$K$85*E$85)/28</f>
      </c>
      <c r="F90">
        <f>($K$70*F$70+$K$73*F$73+$K$76*F$76+$K$79*F$79+$K$82*F$82+$K$85*F$85)/28</f>
      </c>
      <c r="G90">
        <f>($K$70*G$70+$K$73*G$73+$K$76*G$76+$K$79*G$79+$K$82*G$82+$K$85*G$85)/28</f>
      </c>
      <c r="H90">
        <f>($K$70*H$70+$K$73*H$73+$K$76*H$76+$K$79*H$79+$K$82*H$82+$K$85*H$85)/28</f>
      </c>
      <c r="I90">
        <f>($K$70*I$70+$K$73*I$73+$K$76*I$76+$K$79*I$79+$K$82*I$82+$K$85*I$85)/28</f>
      </c>
      <c r="J90">
        <f>($K$70*J$70+$K$73*J$73+$K$76*J$76+$K$79*J$79+$K$82*J$82+$K$85*J$85)/28</f>
      </c>
    </row>
    <row r="91" spans="1:10" x14ac:dyDescent="0.25">
      <c r="A91" t="s">
        <v>778</v>
      </c>
      <c r="B91">
        <f>'1_입력값'!D55*'1_입력값'!D59</f>
      </c>
      <c r="C91">
        <f>($K$71*C$71+$K$74*C$74+$K$77*C$77+$K$80*C$80+$K$83*C$83+$K$86*C$86)/28</f>
      </c>
      <c r="D91">
        <f>($K$71*D$71+$K$74*D$74+$K$77*D$77+$K$80*D$80+$K$83*D$83+$K$86*D$86)/28</f>
      </c>
      <c r="E91">
        <f>($K$71*E$71+$K$74*E$74+$K$77*E$77+$K$80*E$80+$K$83*E$83+$K$86*E$86)/28</f>
      </c>
      <c r="F91">
        <f>($K$71*F$71+$K$74*F$74+$K$77*F$77+$K$80*F$80+$K$83*F$83+$K$86*F$86)/28</f>
      </c>
      <c r="G91">
        <f>($K$71*G$71+$K$74*G$74+$K$77*G$77+$K$80*G$80+$K$83*G$83+$K$86*G$86)/28</f>
      </c>
      <c r="H91">
        <f>($K$71*H$71+$K$74*H$74+$K$77*H$77+$K$80*H$80+$K$83*H$83+$K$86*H$86)/28</f>
      </c>
      <c r="I91">
        <f>($K$71*I$71+$K$74*I$74+$K$77*I$77+$K$80*I$80+$K$83*I$83+$K$86*I$86)/28</f>
      </c>
      <c r="J91">
        <f>($K$71*J$71+$K$74*J$74+$K$77*J$77+$K$80*J$80+$K$83*J$83+$K$86*J$86)/28</f>
      </c>
    </row>
    <row r="92" spans="1:11" x14ac:dyDescent="0.25">
      <c r="A92" s="1" t="s">
        <v>779</v>
      </c>
      <c r="B92" s="1">
        <f>B89+B90+B91</f>
      </c>
      <c r="C92" s="36">
        <f>(C89*B89+C90*B90+C91*B91)/B92</f>
      </c>
      <c r="D92" s="36">
        <f>(D89*B89+D90*B90+D91*B91)/B92</f>
      </c>
      <c r="E92" s="36">
        <f>(E89*B89+E90*B90+E91*B91)/B92</f>
      </c>
      <c r="F92" s="36">
        <f>(F89*B89+F90*B90+F91*B91)/B92</f>
      </c>
      <c r="G92" s="36">
        <f>(G89*B89+G90*B90+G91*B91)/B92</f>
      </c>
      <c r="H92" s="36">
        <f>(H89*B89+H90*B90+H91*B91)/B92</f>
      </c>
      <c r="I92" s="36">
        <f>(I89*B89+I90*B90+I91*B91)/B92</f>
      </c>
      <c r="J92" s="1">
        <f>(J89*B89+J90*B90+J91*B91)/B92</f>
      </c>
      <c r="K92" s="1"/>
    </row>
    <row r="93" spans="1:11" x14ac:dyDescent="0.25">
      <c r="A93" s="1" t="s">
        <v>780</v>
      </c>
      <c r="B93" s="1"/>
      <c r="C93" s="39">
        <f>C92/$C92</f>
      </c>
      <c r="D93" s="39">
        <f>D92/$C92</f>
      </c>
      <c r="E93" s="39">
        <f>E92/$C92</f>
      </c>
      <c r="F93" s="39">
        <f>F92/$F92</f>
      </c>
      <c r="G93" s="39">
        <f>G92/$F92</f>
      </c>
      <c r="H93" s="39">
        <f>H92/$F92</f>
      </c>
      <c r="I93" s="39">
        <f>I92/$F92</f>
      </c>
      <c r="J93" s="1"/>
      <c r="K93" s="1"/>
    </row>
    <row r="94" spans="1:11" x14ac:dyDescent="0.25">
      <c r="A94" s="31" t="s">
        <v>781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541" spans="1:1" x14ac:dyDescent="0.25">
      <c r="A541" s="31" t="s">
        <v>782</v>
      </c>
    </row>
  </sheetData>
  <mergeCells count="7">
    <mergeCell ref="A2:I2"/>
    <mergeCell ref="A51:I51"/>
    <mergeCell ref="A55:I55"/>
    <mergeCell ref="A63:I63"/>
    <mergeCell ref="A66:K66"/>
    <mergeCell ref="A67:K67"/>
    <mergeCell ref="A94:K9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0_안내</vt:lpstr>
      <vt:lpstr>1_입력값</vt:lpstr>
      <vt:lpstr>2_단가조사</vt:lpstr>
      <vt:lpstr>3_차폐·냉방환산</vt:lpstr>
      <vt:lpstr>4_결정회의안건</vt:lpstr>
      <vt:lpstr>5_1784운영규칙</vt:lpstr>
      <vt:lpstr>6_태양궤적(혜연)</vt:lpstr>
      <vt:lpstr>7_공사비</vt:lpstr>
      <vt:lpstr>8_시공전후</vt:lpstr>
      <vt:lpstr>9_발주처이익</vt:lpstr>
      <vt:lpstr>10_누적·민감도</vt:lpstr>
      <vt:lpstr>11_인센티브</vt:lpstr>
      <vt:lpstr>12_일정표</vt:lpstr>
      <vt:lpstr>13_탄소·계절효과</vt:lpstr>
      <vt:lpstr>14_Radiance(팀)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2026-10-07T03:40:10Z</dcterms:created>
  <dcterms:modified xsi:type="dcterms:W3CDTF">2026-10-07T03:40:10Z</dcterms:modified>
</cp:coreProperties>
</file>